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S. olaleye\Documents\"/>
    </mc:Choice>
  </mc:AlternateContent>
  <xr:revisionPtr revIDLastSave="0" documentId="8_{D8D9F459-1BBC-4D75-8F45-9EA1F7EC82A3}" xr6:coauthVersionLast="47" xr6:coauthVersionMax="47" xr10:uidLastSave="{00000000-0000-0000-0000-000000000000}"/>
  <bookViews>
    <workbookView xWindow="-120" yWindow="-120" windowWidth="20730" windowHeight="11040" activeTab="2" xr2:uid="{A0F64059-61F5-477A-AEFF-8CC8E753BB62}"/>
  </bookViews>
  <sheets>
    <sheet name="Sheet2" sheetId="3" r:id="rId1"/>
    <sheet name="Data" sheetId="2" r:id="rId2"/>
    <sheet name="Dashboard" sheetId="1" r:id="rId3"/>
  </sheets>
  <definedNames>
    <definedName name="ExternalData_1" localSheetId="1" hidden="1">Data!$A$1:$G$701</definedName>
    <definedName name="Slicer_Country">#N/A</definedName>
    <definedName name="Slicer_Product">#N/A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73" i="2" l="1"/>
  <c r="M2" i="2"/>
  <c r="M220" i="2"/>
  <c r="M474" i="2"/>
  <c r="M3" i="2"/>
  <c r="M4" i="2"/>
  <c r="M221" i="2"/>
  <c r="M475" i="2"/>
  <c r="M5" i="2"/>
  <c r="M6" i="2"/>
  <c r="M222" i="2"/>
  <c r="M476" i="2"/>
  <c r="M223" i="2"/>
  <c r="M477" i="2"/>
  <c r="M478" i="2"/>
  <c r="M479" i="2"/>
  <c r="M7" i="2"/>
  <c r="M224" i="2"/>
  <c r="M225" i="2"/>
  <c r="M226" i="2"/>
  <c r="M227" i="2"/>
  <c r="M480" i="2"/>
  <c r="M228" i="2"/>
  <c r="M481" i="2"/>
  <c r="M8" i="2"/>
  <c r="M229" i="2"/>
  <c r="M9" i="2"/>
  <c r="M230" i="2"/>
  <c r="M10" i="2"/>
  <c r="M482" i="2"/>
  <c r="M231" i="2"/>
  <c r="M232" i="2"/>
  <c r="M233" i="2"/>
  <c r="M234" i="2"/>
  <c r="M11" i="2"/>
  <c r="M12" i="2"/>
  <c r="M13" i="2"/>
  <c r="M483" i="2"/>
  <c r="M484" i="2"/>
  <c r="M485" i="2"/>
  <c r="M14" i="2"/>
  <c r="M235" i="2"/>
  <c r="M236" i="2"/>
  <c r="M15" i="2"/>
  <c r="M16" i="2"/>
  <c r="M237" i="2"/>
  <c r="M238" i="2"/>
  <c r="M239" i="2"/>
  <c r="M486" i="2"/>
  <c r="M240" i="2"/>
  <c r="M487" i="2"/>
  <c r="M488" i="2"/>
  <c r="M17" i="2"/>
  <c r="M241" i="2"/>
  <c r="M242" i="2"/>
  <c r="M18" i="2"/>
  <c r="M489" i="2"/>
  <c r="M490" i="2"/>
  <c r="M19" i="2"/>
  <c r="M20" i="2"/>
  <c r="M243" i="2"/>
  <c r="M491" i="2"/>
  <c r="M21" i="2"/>
  <c r="M244" i="2"/>
  <c r="M492" i="2"/>
  <c r="M22" i="2"/>
  <c r="M493" i="2"/>
  <c r="M23" i="2"/>
  <c r="M245" i="2"/>
  <c r="M494" i="2"/>
  <c r="M495" i="2"/>
  <c r="M246" i="2"/>
  <c r="M24" i="2"/>
  <c r="M247" i="2"/>
  <c r="M25" i="2"/>
  <c r="M496" i="2"/>
  <c r="M248" i="2"/>
  <c r="M497" i="2"/>
  <c r="M498" i="2"/>
  <c r="M249" i="2"/>
  <c r="M250" i="2"/>
  <c r="M499" i="2"/>
  <c r="M251" i="2"/>
  <c r="M252" i="2"/>
  <c r="M500" i="2"/>
  <c r="M501" i="2"/>
  <c r="M26" i="2"/>
  <c r="M253" i="2"/>
  <c r="M254" i="2"/>
  <c r="M502" i="2"/>
  <c r="M503" i="2"/>
  <c r="M504" i="2"/>
  <c r="M505" i="2"/>
  <c r="M506" i="2"/>
  <c r="M507" i="2"/>
  <c r="M255" i="2"/>
  <c r="M27" i="2"/>
  <c r="M508" i="2"/>
  <c r="M509" i="2"/>
  <c r="M256" i="2"/>
  <c r="M257" i="2"/>
  <c r="M258" i="2"/>
  <c r="M28" i="2"/>
  <c r="M510" i="2"/>
  <c r="M29" i="2"/>
  <c r="M259" i="2"/>
  <c r="M511" i="2"/>
  <c r="M512" i="2"/>
  <c r="M260" i="2"/>
  <c r="M261" i="2"/>
  <c r="M30" i="2"/>
  <c r="M31" i="2"/>
  <c r="M262" i="2"/>
  <c r="M263" i="2"/>
  <c r="M32" i="2"/>
  <c r="M264" i="2"/>
  <c r="M33" i="2"/>
  <c r="M513" i="2"/>
  <c r="M34" i="2"/>
  <c r="M514" i="2"/>
  <c r="M35" i="2"/>
  <c r="M265" i="2"/>
  <c r="M515" i="2"/>
  <c r="M516" i="2"/>
  <c r="M266" i="2"/>
  <c r="M36" i="2"/>
  <c r="M517" i="2"/>
  <c r="M267" i="2"/>
  <c r="M268" i="2"/>
  <c r="M518" i="2"/>
  <c r="M37" i="2"/>
  <c r="M269" i="2"/>
  <c r="M519" i="2"/>
  <c r="M270" i="2"/>
  <c r="M38" i="2"/>
  <c r="M271" i="2"/>
  <c r="M39" i="2"/>
  <c r="M272" i="2"/>
  <c r="M273" i="2"/>
  <c r="M274" i="2"/>
  <c r="M520" i="2"/>
  <c r="M275" i="2"/>
  <c r="M40" i="2"/>
  <c r="M521" i="2"/>
  <c r="M276" i="2"/>
  <c r="M41" i="2"/>
  <c r="M522" i="2"/>
  <c r="M523" i="2"/>
  <c r="M277" i="2"/>
  <c r="M42" i="2"/>
  <c r="M524" i="2"/>
  <c r="M43" i="2"/>
  <c r="M278" i="2"/>
  <c r="M44" i="2"/>
  <c r="M45" i="2"/>
  <c r="M279" i="2"/>
  <c r="M280" i="2"/>
  <c r="M281" i="2"/>
  <c r="M46" i="2"/>
  <c r="M282" i="2"/>
  <c r="M283" i="2"/>
  <c r="M47" i="2"/>
  <c r="M48" i="2"/>
  <c r="M525" i="2"/>
  <c r="M526" i="2"/>
  <c r="M284" i="2"/>
  <c r="M285" i="2"/>
  <c r="M49" i="2"/>
  <c r="M286" i="2"/>
  <c r="M50" i="2"/>
  <c r="M51" i="2"/>
  <c r="M527" i="2"/>
  <c r="M528" i="2"/>
  <c r="M529" i="2"/>
  <c r="M52" i="2"/>
  <c r="M530" i="2"/>
  <c r="M287" i="2"/>
  <c r="M53" i="2"/>
  <c r="M288" i="2"/>
  <c r="M289" i="2"/>
  <c r="M531" i="2"/>
  <c r="M54" i="2"/>
  <c r="M290" i="2"/>
  <c r="M291" i="2"/>
  <c r="M55" i="2"/>
  <c r="M532" i="2"/>
  <c r="M533" i="2"/>
  <c r="M56" i="2"/>
  <c r="M534" i="2"/>
  <c r="M535" i="2"/>
  <c r="M292" i="2"/>
  <c r="M293" i="2"/>
  <c r="M57" i="2"/>
  <c r="M536" i="2"/>
  <c r="M294" i="2"/>
  <c r="M295" i="2"/>
  <c r="M58" i="2"/>
  <c r="M296" i="2"/>
  <c r="M59" i="2"/>
  <c r="M297" i="2"/>
  <c r="M60" i="2"/>
  <c r="M298" i="2"/>
  <c r="M61" i="2"/>
  <c r="M537" i="2"/>
  <c r="M299" i="2"/>
  <c r="M538" i="2"/>
  <c r="M62" i="2"/>
  <c r="M539" i="2"/>
  <c r="M63" i="2"/>
  <c r="M300" i="2"/>
  <c r="M301" i="2"/>
  <c r="M64" i="2"/>
  <c r="M302" i="2"/>
  <c r="M65" i="2"/>
  <c r="M540" i="2"/>
  <c r="M66" i="2"/>
  <c r="M303" i="2"/>
  <c r="M541" i="2"/>
  <c r="M304" i="2"/>
  <c r="M542" i="2"/>
  <c r="M543" i="2"/>
  <c r="M544" i="2"/>
  <c r="M545" i="2"/>
  <c r="M67" i="2"/>
  <c r="M305" i="2"/>
  <c r="M306" i="2"/>
  <c r="M68" i="2"/>
  <c r="M546" i="2"/>
  <c r="M307" i="2"/>
  <c r="M69" i="2"/>
  <c r="M308" i="2"/>
  <c r="M70" i="2"/>
  <c r="M71" i="2"/>
  <c r="M547" i="2"/>
  <c r="M548" i="2"/>
  <c r="M72" i="2"/>
  <c r="M309" i="2"/>
  <c r="M310" i="2"/>
  <c r="M73" i="2"/>
  <c r="M311" i="2"/>
  <c r="M74" i="2"/>
  <c r="M312" i="2"/>
  <c r="M75" i="2"/>
  <c r="M313" i="2"/>
  <c r="M76" i="2"/>
  <c r="M549" i="2"/>
  <c r="M77" i="2"/>
  <c r="M78" i="2"/>
  <c r="M79" i="2"/>
  <c r="M80" i="2"/>
  <c r="M314" i="2"/>
  <c r="M315" i="2"/>
  <c r="M316" i="2"/>
  <c r="M317" i="2"/>
  <c r="M81" i="2"/>
  <c r="M550" i="2"/>
  <c r="M82" i="2"/>
  <c r="M318" i="2"/>
  <c r="M83" i="2"/>
  <c r="M84" i="2"/>
  <c r="M319" i="2"/>
  <c r="M85" i="2"/>
  <c r="M86" i="2"/>
  <c r="M320" i="2"/>
  <c r="M87" i="2"/>
  <c r="M551" i="2"/>
  <c r="M321" i="2"/>
  <c r="M88" i="2"/>
  <c r="M89" i="2"/>
  <c r="M322" i="2"/>
  <c r="M552" i="2"/>
  <c r="M323" i="2"/>
  <c r="M90" i="2"/>
  <c r="M553" i="2"/>
  <c r="M324" i="2"/>
  <c r="M325" i="2"/>
  <c r="M554" i="2"/>
  <c r="M91" i="2"/>
  <c r="M92" i="2"/>
  <c r="M326" i="2"/>
  <c r="M93" i="2"/>
  <c r="M555" i="2"/>
  <c r="M556" i="2"/>
  <c r="M327" i="2"/>
  <c r="M94" i="2"/>
  <c r="M557" i="2"/>
  <c r="M328" i="2"/>
  <c r="M558" i="2"/>
  <c r="M559" i="2"/>
  <c r="M560" i="2"/>
  <c r="M561" i="2"/>
  <c r="M95" i="2"/>
  <c r="M562" i="2"/>
  <c r="M563" i="2"/>
  <c r="M329" i="2"/>
  <c r="M330" i="2"/>
  <c r="M96" i="2"/>
  <c r="M564" i="2"/>
  <c r="M97" i="2"/>
  <c r="M565" i="2"/>
  <c r="M566" i="2"/>
  <c r="M331" i="2"/>
  <c r="M332" i="2"/>
  <c r="M567" i="2"/>
  <c r="M333" i="2"/>
  <c r="M98" i="2"/>
  <c r="M568" i="2"/>
  <c r="M99" i="2"/>
  <c r="M100" i="2"/>
  <c r="M334" i="2"/>
  <c r="M335" i="2"/>
  <c r="M336" i="2"/>
  <c r="M101" i="2"/>
  <c r="M102" i="2"/>
  <c r="M569" i="2"/>
  <c r="M337" i="2"/>
  <c r="M338" i="2"/>
  <c r="M570" i="2"/>
  <c r="M339" i="2"/>
  <c r="M340" i="2"/>
  <c r="M341" i="2"/>
  <c r="M342" i="2"/>
  <c r="M571" i="2"/>
  <c r="M343" i="2"/>
  <c r="M103" i="2"/>
  <c r="M104" i="2"/>
  <c r="M344" i="2"/>
  <c r="M105" i="2"/>
  <c r="M345" i="2"/>
  <c r="M572" i="2"/>
  <c r="M106" i="2"/>
  <c r="M573" i="2"/>
  <c r="M574" i="2"/>
  <c r="M107" i="2"/>
  <c r="M108" i="2"/>
  <c r="M575" i="2"/>
  <c r="M109" i="2"/>
  <c r="M346" i="2"/>
  <c r="M347" i="2"/>
  <c r="M576" i="2"/>
  <c r="M348" i="2"/>
  <c r="M577" i="2"/>
  <c r="M578" i="2"/>
  <c r="M349" i="2"/>
  <c r="M579" i="2"/>
  <c r="M580" i="2"/>
  <c r="M350" i="2"/>
  <c r="M351" i="2"/>
  <c r="M110" i="2"/>
  <c r="M352" i="2"/>
  <c r="M353" i="2"/>
  <c r="M581" i="2"/>
  <c r="M582" i="2"/>
  <c r="M111" i="2"/>
  <c r="M112" i="2"/>
  <c r="M113" i="2"/>
  <c r="M354" i="2"/>
  <c r="M355" i="2"/>
  <c r="M114" i="2"/>
  <c r="M356" i="2"/>
  <c r="M115" i="2"/>
  <c r="M583" i="2"/>
  <c r="M357" i="2"/>
  <c r="M584" i="2"/>
  <c r="M116" i="2"/>
  <c r="M585" i="2"/>
  <c r="M117" i="2"/>
  <c r="M586" i="2"/>
  <c r="M118" i="2"/>
  <c r="M119" i="2"/>
  <c r="M587" i="2"/>
  <c r="M588" i="2"/>
  <c r="M589" i="2"/>
  <c r="M358" i="2"/>
  <c r="M120" i="2"/>
  <c r="M121" i="2"/>
  <c r="M590" i="2"/>
  <c r="M122" i="2"/>
  <c r="M591" i="2"/>
  <c r="M592" i="2"/>
  <c r="M123" i="2"/>
  <c r="M593" i="2"/>
  <c r="M124" i="2"/>
  <c r="M125" i="2"/>
  <c r="M359" i="2"/>
  <c r="M594" i="2"/>
  <c r="M595" i="2"/>
  <c r="M596" i="2"/>
  <c r="M126" i="2"/>
  <c r="M360" i="2"/>
  <c r="M597" i="2"/>
  <c r="M127" i="2"/>
  <c r="M128" i="2"/>
  <c r="M129" i="2"/>
  <c r="M361" i="2"/>
  <c r="M130" i="2"/>
  <c r="M362" i="2"/>
  <c r="M363" i="2"/>
  <c r="M131" i="2"/>
  <c r="M364" i="2"/>
  <c r="M365" i="2"/>
  <c r="M366" i="2"/>
  <c r="M598" i="2"/>
  <c r="M367" i="2"/>
  <c r="M599" i="2"/>
  <c r="M600" i="2"/>
  <c r="M601" i="2"/>
  <c r="M602" i="2"/>
  <c r="M603" i="2"/>
  <c r="M368" i="2"/>
  <c r="M604" i="2"/>
  <c r="M605" i="2"/>
  <c r="M369" i="2"/>
  <c r="M132" i="2"/>
  <c r="M370" i="2"/>
  <c r="M606" i="2"/>
  <c r="M371" i="2"/>
  <c r="M607" i="2"/>
  <c r="M133" i="2"/>
  <c r="M608" i="2"/>
  <c r="M134" i="2"/>
  <c r="M372" i="2"/>
  <c r="M609" i="2"/>
  <c r="M135" i="2"/>
  <c r="M610" i="2"/>
  <c r="M373" i="2"/>
  <c r="M374" i="2"/>
  <c r="M136" i="2"/>
  <c r="M375" i="2"/>
  <c r="M137" i="2"/>
  <c r="M138" i="2"/>
  <c r="M611" i="2"/>
  <c r="M612" i="2"/>
  <c r="M376" i="2"/>
  <c r="M139" i="2"/>
  <c r="M613" i="2"/>
  <c r="M614" i="2"/>
  <c r="M615" i="2"/>
  <c r="M140" i="2"/>
  <c r="M141" i="2"/>
  <c r="M142" i="2"/>
  <c r="M377" i="2"/>
  <c r="M143" i="2"/>
  <c r="M144" i="2"/>
  <c r="M378" i="2"/>
  <c r="M145" i="2"/>
  <c r="M379" i="2"/>
  <c r="M380" i="2"/>
  <c r="M146" i="2"/>
  <c r="M381" i="2"/>
  <c r="M382" i="2"/>
  <c r="M616" i="2"/>
  <c r="M383" i="2"/>
  <c r="M617" i="2"/>
  <c r="M384" i="2"/>
  <c r="M385" i="2"/>
  <c r="M386" i="2"/>
  <c r="M618" i="2"/>
  <c r="M387" i="2"/>
  <c r="M388" i="2"/>
  <c r="M619" i="2"/>
  <c r="M620" i="2"/>
  <c r="M389" i="2"/>
  <c r="M147" i="2"/>
  <c r="M621" i="2"/>
  <c r="M148" i="2"/>
  <c r="M390" i="2"/>
  <c r="M149" i="2"/>
  <c r="M391" i="2"/>
  <c r="M622" i="2"/>
  <c r="M623" i="2"/>
  <c r="M392" i="2"/>
  <c r="M624" i="2"/>
  <c r="M393" i="2"/>
  <c r="M625" i="2"/>
  <c r="M626" i="2"/>
  <c r="M394" i="2"/>
  <c r="M627" i="2"/>
  <c r="M150" i="2"/>
  <c r="M395" i="2"/>
  <c r="M628" i="2"/>
  <c r="M396" i="2"/>
  <c r="M629" i="2"/>
  <c r="M397" i="2"/>
  <c r="M398" i="2"/>
  <c r="M399" i="2"/>
  <c r="M630" i="2"/>
  <c r="M400" i="2"/>
  <c r="M401" i="2"/>
  <c r="M631" i="2"/>
  <c r="M151" i="2"/>
  <c r="M152" i="2"/>
  <c r="M153" i="2"/>
  <c r="M632" i="2"/>
  <c r="M633" i="2"/>
  <c r="M154" i="2"/>
  <c r="M634" i="2"/>
  <c r="M155" i="2"/>
  <c r="M635" i="2"/>
  <c r="M156" i="2"/>
  <c r="M636" i="2"/>
  <c r="M402" i="2"/>
  <c r="M403" i="2"/>
  <c r="M404" i="2"/>
  <c r="M637" i="2"/>
  <c r="M157" i="2"/>
  <c r="M638" i="2"/>
  <c r="M158" i="2"/>
  <c r="M159" i="2"/>
  <c r="M639" i="2"/>
  <c r="M160" i="2"/>
  <c r="M161" i="2"/>
  <c r="M405" i="2"/>
  <c r="M406" i="2"/>
  <c r="M640" i="2"/>
  <c r="M407" i="2"/>
  <c r="M162" i="2"/>
  <c r="M408" i="2"/>
  <c r="M163" i="2"/>
  <c r="M409" i="2"/>
  <c r="M641" i="2"/>
  <c r="M410" i="2"/>
  <c r="M411" i="2"/>
  <c r="M412" i="2"/>
  <c r="M413" i="2"/>
  <c r="M414" i="2"/>
  <c r="M642" i="2"/>
  <c r="M164" i="2"/>
  <c r="M643" i="2"/>
  <c r="M644" i="2"/>
  <c r="M165" i="2"/>
  <c r="M166" i="2"/>
  <c r="M645" i="2"/>
  <c r="M415" i="2"/>
  <c r="M167" i="2"/>
  <c r="M646" i="2"/>
  <c r="M647" i="2"/>
  <c r="M648" i="2"/>
  <c r="M168" i="2"/>
  <c r="M416" i="2"/>
  <c r="M417" i="2"/>
  <c r="M169" i="2"/>
  <c r="M418" i="2"/>
  <c r="M419" i="2"/>
  <c r="M420" i="2"/>
  <c r="M421" i="2"/>
  <c r="M170" i="2"/>
  <c r="M171" i="2"/>
  <c r="M649" i="2"/>
  <c r="M422" i="2"/>
  <c r="M650" i="2"/>
  <c r="M423" i="2"/>
  <c r="M172" i="2"/>
  <c r="M651" i="2"/>
  <c r="M424" i="2"/>
  <c r="M425" i="2"/>
  <c r="M173" i="2"/>
  <c r="M652" i="2"/>
  <c r="M653" i="2"/>
  <c r="M426" i="2"/>
  <c r="M174" i="2"/>
  <c r="M654" i="2"/>
  <c r="M427" i="2"/>
  <c r="M428" i="2"/>
  <c r="M429" i="2"/>
  <c r="M655" i="2"/>
  <c r="M656" i="2"/>
  <c r="M430" i="2"/>
  <c r="M175" i="2"/>
  <c r="M431" i="2"/>
  <c r="M657" i="2"/>
  <c r="M432" i="2"/>
  <c r="M176" i="2"/>
  <c r="M433" i="2"/>
  <c r="M434" i="2"/>
  <c r="M435" i="2"/>
  <c r="M177" i="2"/>
  <c r="M178" i="2"/>
  <c r="M658" i="2"/>
  <c r="M179" i="2"/>
  <c r="M659" i="2"/>
  <c r="M660" i="2"/>
  <c r="M436" i="2"/>
  <c r="M661" i="2"/>
  <c r="M437" i="2"/>
  <c r="M662" i="2"/>
  <c r="M438" i="2"/>
  <c r="M180" i="2"/>
  <c r="M663" i="2"/>
  <c r="M664" i="2"/>
  <c r="M181" i="2"/>
  <c r="M182" i="2"/>
  <c r="M665" i="2"/>
  <c r="M183" i="2"/>
  <c r="M439" i="2"/>
  <c r="M184" i="2"/>
  <c r="M185" i="2"/>
  <c r="M666" i="2"/>
  <c r="M186" i="2"/>
  <c r="M667" i="2"/>
  <c r="M440" i="2"/>
  <c r="M441" i="2"/>
  <c r="M442" i="2"/>
  <c r="M443" i="2"/>
  <c r="M187" i="2"/>
  <c r="M668" i="2"/>
  <c r="M188" i="2"/>
  <c r="M189" i="2"/>
  <c r="M444" i="2"/>
  <c r="M669" i="2"/>
  <c r="M670" i="2"/>
  <c r="M445" i="2"/>
  <c r="M446" i="2"/>
  <c r="M671" i="2"/>
  <c r="M447" i="2"/>
  <c r="M448" i="2"/>
  <c r="M190" i="2"/>
  <c r="M672" i="2"/>
  <c r="M191" i="2"/>
  <c r="M449" i="2"/>
  <c r="M450" i="2"/>
  <c r="M673" i="2"/>
  <c r="M674" i="2"/>
  <c r="M192" i="2"/>
  <c r="M675" i="2"/>
  <c r="M676" i="2"/>
  <c r="M677" i="2"/>
  <c r="M451" i="2"/>
  <c r="M678" i="2"/>
  <c r="M679" i="2"/>
  <c r="M452" i="2"/>
  <c r="M453" i="2"/>
  <c r="M454" i="2"/>
  <c r="M455" i="2"/>
  <c r="M193" i="2"/>
  <c r="M194" i="2"/>
  <c r="M456" i="2"/>
  <c r="M680" i="2"/>
  <c r="M457" i="2"/>
  <c r="M195" i="2"/>
  <c r="M681" i="2"/>
  <c r="M682" i="2"/>
  <c r="M196" i="2"/>
  <c r="M458" i="2"/>
  <c r="M459" i="2"/>
  <c r="M683" i="2"/>
  <c r="M460" i="2"/>
  <c r="M197" i="2"/>
  <c r="M198" i="2"/>
  <c r="M199" i="2"/>
  <c r="M461" i="2"/>
  <c r="M200" i="2"/>
  <c r="M462" i="2"/>
  <c r="M463" i="2"/>
  <c r="M684" i="2"/>
  <c r="M685" i="2"/>
  <c r="M201" i="2"/>
  <c r="M686" i="2"/>
  <c r="M464" i="2"/>
  <c r="M202" i="2"/>
  <c r="M465" i="2"/>
  <c r="M203" i="2"/>
  <c r="M204" i="2"/>
  <c r="M205" i="2"/>
  <c r="M206" i="2"/>
  <c r="M207" i="2"/>
  <c r="M208" i="2"/>
  <c r="M687" i="2"/>
  <c r="M209" i="2"/>
  <c r="M688" i="2"/>
  <c r="M210" i="2"/>
  <c r="M689" i="2"/>
  <c r="M690" i="2"/>
  <c r="M211" i="2"/>
  <c r="M466" i="2"/>
  <c r="M467" i="2"/>
  <c r="M468" i="2"/>
  <c r="M212" i="2"/>
  <c r="M213" i="2"/>
  <c r="M214" i="2"/>
  <c r="M215" i="2"/>
  <c r="M691" i="2"/>
  <c r="M469" i="2"/>
  <c r="M216" i="2"/>
  <c r="M692" i="2"/>
  <c r="M693" i="2"/>
  <c r="M694" i="2"/>
  <c r="M217" i="2"/>
  <c r="M695" i="2"/>
  <c r="M696" i="2"/>
  <c r="M470" i="2"/>
  <c r="M471" i="2"/>
  <c r="M218" i="2"/>
  <c r="M472" i="2"/>
  <c r="M697" i="2"/>
  <c r="M698" i="2"/>
  <c r="M699" i="2"/>
  <c r="M219" i="2"/>
  <c r="M700" i="2"/>
  <c r="M701" i="2"/>
  <c r="L35" i="2"/>
  <c r="L183" i="2"/>
  <c r="L265" i="2"/>
  <c r="L51" i="2"/>
  <c r="L164" i="2"/>
  <c r="L473" i="2"/>
  <c r="L364" i="2"/>
  <c r="L622" i="2"/>
  <c r="L195" i="2"/>
  <c r="L515" i="2"/>
  <c r="L516" i="2"/>
  <c r="L643" i="2"/>
  <c r="L681" i="2"/>
  <c r="L682" i="2"/>
  <c r="L196" i="2"/>
  <c r="L644" i="2"/>
  <c r="L458" i="2"/>
  <c r="L348" i="2"/>
  <c r="L439" i="2"/>
  <c r="L487" i="2"/>
  <c r="L365" i="2"/>
  <c r="L366" i="2"/>
  <c r="L305" i="2"/>
  <c r="L598" i="2"/>
  <c r="L306" i="2"/>
  <c r="L2" i="2"/>
  <c r="L220" i="2"/>
  <c r="L623" i="2"/>
  <c r="L527" i="2"/>
  <c r="L528" i="2"/>
  <c r="L266" i="2"/>
  <c r="L459" i="2"/>
  <c r="L683" i="2"/>
  <c r="L460" i="2"/>
  <c r="L68" i="2"/>
  <c r="L577" i="2"/>
  <c r="L529" i="2"/>
  <c r="L367" i="2"/>
  <c r="L165" i="2"/>
  <c r="L474" i="2"/>
  <c r="L166" i="2"/>
  <c r="L52" i="2"/>
  <c r="L546" i="2"/>
  <c r="L599" i="2"/>
  <c r="L600" i="2"/>
  <c r="L530" i="2"/>
  <c r="L601" i="2"/>
  <c r="L578" i="2"/>
  <c r="L645" i="2"/>
  <c r="L36" i="2"/>
  <c r="L184" i="2"/>
  <c r="L517" i="2"/>
  <c r="L267" i="2"/>
  <c r="L392" i="2"/>
  <c r="L415" i="2"/>
  <c r="L3" i="2"/>
  <c r="L167" i="2"/>
  <c r="L624" i="2"/>
  <c r="L488" i="2"/>
  <c r="L17" i="2"/>
  <c r="L602" i="2"/>
  <c r="L197" i="2"/>
  <c r="L307" i="2"/>
  <c r="L198" i="2"/>
  <c r="L560" i="2"/>
  <c r="L268" i="2"/>
  <c r="L646" i="2"/>
  <c r="L4" i="2"/>
  <c r="L241" i="2"/>
  <c r="L393" i="2"/>
  <c r="L647" i="2"/>
  <c r="L199" i="2"/>
  <c r="L242" i="2"/>
  <c r="L518" i="2"/>
  <c r="L461" i="2"/>
  <c r="L18" i="2"/>
  <c r="L185" i="2"/>
  <c r="L489" i="2"/>
  <c r="L69" i="2"/>
  <c r="L287" i="2"/>
  <c r="L490" i="2"/>
  <c r="L603" i="2"/>
  <c r="L648" i="2"/>
  <c r="L221" i="2"/>
  <c r="L308" i="2"/>
  <c r="L475" i="2"/>
  <c r="L168" i="2"/>
  <c r="L53" i="2"/>
  <c r="L416" i="2"/>
  <c r="L5" i="2"/>
  <c r="L368" i="2"/>
  <c r="L417" i="2"/>
  <c r="L37" i="2"/>
  <c r="L200" i="2"/>
  <c r="L666" i="2"/>
  <c r="L561" i="2"/>
  <c r="L95" i="2"/>
  <c r="L604" i="2"/>
  <c r="L186" i="2"/>
  <c r="L269" i="2"/>
  <c r="L169" i="2"/>
  <c r="L605" i="2"/>
  <c r="L19" i="2"/>
  <c r="L349" i="2"/>
  <c r="L562" i="2"/>
  <c r="L70" i="2"/>
  <c r="L563" i="2"/>
  <c r="L462" i="2"/>
  <c r="L667" i="2"/>
  <c r="L329" i="2"/>
  <c r="L6" i="2"/>
  <c r="L625" i="2"/>
  <c r="L222" i="2"/>
  <c r="L440" i="2"/>
  <c r="L369" i="2"/>
  <c r="L71" i="2"/>
  <c r="L463" i="2"/>
  <c r="L684" i="2"/>
  <c r="L547" i="2"/>
  <c r="L20" i="2"/>
  <c r="L418" i="2"/>
  <c r="L330" i="2"/>
  <c r="L685" i="2"/>
  <c r="L548" i="2"/>
  <c r="L72" i="2"/>
  <c r="L579" i="2"/>
  <c r="L626" i="2"/>
  <c r="L132" i="2"/>
  <c r="L370" i="2"/>
  <c r="L441" i="2"/>
  <c r="L288" i="2"/>
  <c r="L442" i="2"/>
  <c r="L394" i="2"/>
  <c r="L419" i="2"/>
  <c r="L420" i="2"/>
  <c r="L519" i="2"/>
  <c r="L243" i="2"/>
  <c r="L627" i="2"/>
  <c r="L421" i="2"/>
  <c r="L606" i="2"/>
  <c r="L371" i="2"/>
  <c r="L309" i="2"/>
  <c r="L270" i="2"/>
  <c r="L580" i="2"/>
  <c r="L491" i="2"/>
  <c r="L150" i="2"/>
  <c r="L395" i="2"/>
  <c r="L289" i="2"/>
  <c r="L628" i="2"/>
  <c r="L443" i="2"/>
  <c r="L170" i="2"/>
  <c r="L350" i="2"/>
  <c r="L171" i="2"/>
  <c r="L396" i="2"/>
  <c r="L649" i="2"/>
  <c r="L21" i="2"/>
  <c r="L476" i="2"/>
  <c r="L201" i="2"/>
  <c r="L38" i="2"/>
  <c r="L422" i="2"/>
  <c r="L686" i="2"/>
  <c r="L244" i="2"/>
  <c r="L629" i="2"/>
  <c r="L464" i="2"/>
  <c r="L351" i="2"/>
  <c r="L531" i="2"/>
  <c r="L607" i="2"/>
  <c r="L310" i="2"/>
  <c r="L271" i="2"/>
  <c r="L96" i="2"/>
  <c r="L73" i="2"/>
  <c r="L492" i="2"/>
  <c r="L39" i="2"/>
  <c r="L650" i="2"/>
  <c r="L223" i="2"/>
  <c r="L22" i="2"/>
  <c r="L202" i="2"/>
  <c r="L465" i="2"/>
  <c r="L493" i="2"/>
  <c r="L397" i="2"/>
  <c r="L203" i="2"/>
  <c r="L54" i="2"/>
  <c r="L423" i="2"/>
  <c r="L272" i="2"/>
  <c r="L172" i="2"/>
  <c r="L651" i="2"/>
  <c r="L187" i="2"/>
  <c r="L110" i="2"/>
  <c r="L398" i="2"/>
  <c r="L273" i="2"/>
  <c r="L424" i="2"/>
  <c r="L399" i="2"/>
  <c r="L23" i="2"/>
  <c r="L564" i="2"/>
  <c r="L668" i="2"/>
  <c r="L425" i="2"/>
  <c r="L630" i="2"/>
  <c r="L311" i="2"/>
  <c r="L133" i="2"/>
  <c r="L204" i="2"/>
  <c r="L400" i="2"/>
  <c r="L401" i="2"/>
  <c r="L205" i="2"/>
  <c r="L188" i="2"/>
  <c r="L173" i="2"/>
  <c r="L74" i="2"/>
  <c r="L245" i="2"/>
  <c r="L631" i="2"/>
  <c r="L274" i="2"/>
  <c r="L520" i="2"/>
  <c r="L652" i="2"/>
  <c r="L494" i="2"/>
  <c r="L290" i="2"/>
  <c r="L477" i="2"/>
  <c r="L312" i="2"/>
  <c r="L291" i="2"/>
  <c r="L55" i="2"/>
  <c r="L478" i="2"/>
  <c r="L206" i="2"/>
  <c r="L207" i="2"/>
  <c r="L495" i="2"/>
  <c r="L479" i="2"/>
  <c r="L608" i="2"/>
  <c r="L275" i="2"/>
  <c r="L532" i="2"/>
  <c r="L189" i="2"/>
  <c r="L151" i="2"/>
  <c r="L246" i="2"/>
  <c r="L75" i="2"/>
  <c r="L208" i="2"/>
  <c r="L134" i="2"/>
  <c r="L313" i="2"/>
  <c r="L7" i="2"/>
  <c r="L352" i="2"/>
  <c r="L24" i="2"/>
  <c r="L444" i="2"/>
  <c r="L372" i="2"/>
  <c r="L76" i="2"/>
  <c r="L687" i="2"/>
  <c r="L653" i="2"/>
  <c r="L609" i="2"/>
  <c r="L40" i="2"/>
  <c r="L247" i="2"/>
  <c r="L353" i="2"/>
  <c r="L549" i="2"/>
  <c r="L77" i="2"/>
  <c r="L581" i="2"/>
  <c r="L152" i="2"/>
  <c r="L521" i="2"/>
  <c r="L153" i="2"/>
  <c r="L533" i="2"/>
  <c r="L97" i="2"/>
  <c r="L56" i="2"/>
  <c r="L534" i="2"/>
  <c r="L209" i="2"/>
  <c r="L535" i="2"/>
  <c r="L135" i="2"/>
  <c r="L224" i="2"/>
  <c r="L565" i="2"/>
  <c r="L292" i="2"/>
  <c r="L566" i="2"/>
  <c r="L669" i="2"/>
  <c r="L293" i="2"/>
  <c r="L582" i="2"/>
  <c r="L632" i="2"/>
  <c r="L610" i="2"/>
  <c r="L331" i="2"/>
  <c r="L670" i="2"/>
  <c r="L78" i="2"/>
  <c r="L57" i="2"/>
  <c r="L332" i="2"/>
  <c r="L536" i="2"/>
  <c r="L633" i="2"/>
  <c r="L276" i="2"/>
  <c r="L225" i="2"/>
  <c r="L445" i="2"/>
  <c r="L25" i="2"/>
  <c r="L154" i="2"/>
  <c r="L688" i="2"/>
  <c r="L426" i="2"/>
  <c r="L294" i="2"/>
  <c r="L174" i="2"/>
  <c r="L654" i="2"/>
  <c r="L496" i="2"/>
  <c r="L210" i="2"/>
  <c r="L427" i="2"/>
  <c r="L226" i="2"/>
  <c r="L446" i="2"/>
  <c r="L689" i="2"/>
  <c r="L295" i="2"/>
  <c r="L634" i="2"/>
  <c r="L41" i="2"/>
  <c r="L79" i="2"/>
  <c r="L111" i="2"/>
  <c r="L567" i="2"/>
  <c r="L155" i="2"/>
  <c r="L248" i="2"/>
  <c r="L497" i="2"/>
  <c r="L373" i="2"/>
  <c r="L498" i="2"/>
  <c r="L58" i="2"/>
  <c r="L522" i="2"/>
  <c r="L523" i="2"/>
  <c r="L249" i="2"/>
  <c r="L80" i="2"/>
  <c r="L250" i="2"/>
  <c r="L690" i="2"/>
  <c r="L499" i="2"/>
  <c r="L296" i="2"/>
  <c r="L333" i="2"/>
  <c r="L98" i="2"/>
  <c r="L59" i="2"/>
  <c r="L635" i="2"/>
  <c r="L277" i="2"/>
  <c r="L374" i="2"/>
  <c r="L314" i="2"/>
  <c r="L227" i="2"/>
  <c r="L251" i="2"/>
  <c r="L156" i="2"/>
  <c r="L480" i="2"/>
  <c r="L428" i="2"/>
  <c r="L429" i="2"/>
  <c r="L568" i="2"/>
  <c r="L42" i="2"/>
  <c r="L671" i="2"/>
  <c r="L112" i="2"/>
  <c r="L136" i="2"/>
  <c r="L315" i="2"/>
  <c r="L211" i="2"/>
  <c r="L99" i="2"/>
  <c r="L447" i="2"/>
  <c r="L100" i="2"/>
  <c r="L297" i="2"/>
  <c r="L636" i="2"/>
  <c r="L316" i="2"/>
  <c r="L448" i="2"/>
  <c r="L228" i="2"/>
  <c r="L466" i="2"/>
  <c r="L190" i="2"/>
  <c r="L113" i="2"/>
  <c r="L402" i="2"/>
  <c r="L317" i="2"/>
  <c r="L334" i="2"/>
  <c r="L403" i="2"/>
  <c r="L375" i="2"/>
  <c r="L481" i="2"/>
  <c r="L354" i="2"/>
  <c r="L8" i="2"/>
  <c r="L355" i="2"/>
  <c r="L229" i="2"/>
  <c r="L404" i="2"/>
  <c r="L60" i="2"/>
  <c r="L114" i="2"/>
  <c r="L9" i="2"/>
  <c r="L230" i="2"/>
  <c r="L252" i="2"/>
  <c r="L81" i="2"/>
  <c r="L356" i="2"/>
  <c r="L10" i="2"/>
  <c r="L655" i="2"/>
  <c r="L137" i="2"/>
  <c r="L138" i="2"/>
  <c r="L500" i="2"/>
  <c r="L467" i="2"/>
  <c r="L482" i="2"/>
  <c r="L524" i="2"/>
  <c r="L501" i="2"/>
  <c r="L468" i="2"/>
  <c r="L115" i="2"/>
  <c r="L611" i="2"/>
  <c r="L43" i="2"/>
  <c r="L612" i="2"/>
  <c r="L550" i="2"/>
  <c r="L298" i="2"/>
  <c r="L376" i="2"/>
  <c r="L583" i="2"/>
  <c r="L278" i="2"/>
  <c r="L44" i="2"/>
  <c r="L61" i="2"/>
  <c r="L656" i="2"/>
  <c r="L537" i="2"/>
  <c r="L45" i="2"/>
  <c r="L26" i="2"/>
  <c r="L253" i="2"/>
  <c r="L430" i="2"/>
  <c r="L672" i="2"/>
  <c r="L82" i="2"/>
  <c r="L175" i="2"/>
  <c r="L139" i="2"/>
  <c r="L212" i="2"/>
  <c r="L279" i="2"/>
  <c r="L254" i="2"/>
  <c r="L318" i="2"/>
  <c r="L335" i="2"/>
  <c r="L357" i="2"/>
  <c r="L280" i="2"/>
  <c r="L502" i="2"/>
  <c r="L213" i="2"/>
  <c r="L336" i="2"/>
  <c r="L83" i="2"/>
  <c r="L637" i="2"/>
  <c r="L231" i="2"/>
  <c r="L214" i="2"/>
  <c r="L584" i="2"/>
  <c r="L191" i="2"/>
  <c r="L613" i="2"/>
  <c r="L299" i="2"/>
  <c r="L614" i="2"/>
  <c r="L615" i="2"/>
  <c r="L538" i="2"/>
  <c r="L101" i="2"/>
  <c r="L140" i="2"/>
  <c r="L232" i="2"/>
  <c r="L62" i="2"/>
  <c r="L116" i="2"/>
  <c r="L503" i="2"/>
  <c r="L233" i="2"/>
  <c r="L84" i="2"/>
  <c r="L431" i="2"/>
  <c r="L504" i="2"/>
  <c r="L234" i="2"/>
  <c r="L505" i="2"/>
  <c r="L102" i="2"/>
  <c r="L215" i="2"/>
  <c r="L569" i="2"/>
  <c r="L337" i="2"/>
  <c r="L338" i="2"/>
  <c r="L506" i="2"/>
  <c r="L157" i="2"/>
  <c r="L585" i="2"/>
  <c r="L117" i="2"/>
  <c r="L319" i="2"/>
  <c r="L539" i="2"/>
  <c r="L85" i="2"/>
  <c r="L638" i="2"/>
  <c r="L507" i="2"/>
  <c r="L255" i="2"/>
  <c r="L449" i="2"/>
  <c r="L63" i="2"/>
  <c r="L570" i="2"/>
  <c r="L86" i="2"/>
  <c r="L27" i="2"/>
  <c r="L320" i="2"/>
  <c r="L508" i="2"/>
  <c r="L586" i="2"/>
  <c r="L87" i="2"/>
  <c r="L657" i="2"/>
  <c r="L432" i="2"/>
  <c r="L176" i="2"/>
  <c r="L141" i="2"/>
  <c r="L433" i="2"/>
  <c r="L434" i="2"/>
  <c r="L142" i="2"/>
  <c r="L118" i="2"/>
  <c r="L158" i="2"/>
  <c r="L377" i="2"/>
  <c r="L435" i="2"/>
  <c r="L143" i="2"/>
  <c r="L339" i="2"/>
  <c r="L551" i="2"/>
  <c r="L509" i="2"/>
  <c r="L340" i="2"/>
  <c r="L119" i="2"/>
  <c r="L300" i="2"/>
  <c r="L281" i="2"/>
  <c r="L177" i="2"/>
  <c r="L46" i="2"/>
  <c r="L691" i="2"/>
  <c r="L301" i="2"/>
  <c r="L178" i="2"/>
  <c r="L256" i="2"/>
  <c r="L450" i="2"/>
  <c r="L321" i="2"/>
  <c r="L469" i="2"/>
  <c r="L11" i="2"/>
  <c r="L12" i="2"/>
  <c r="L257" i="2"/>
  <c r="L673" i="2"/>
  <c r="L64" i="2"/>
  <c r="L88" i="2"/>
  <c r="L216" i="2"/>
  <c r="L89" i="2"/>
  <c r="L322" i="2"/>
  <c r="L282" i="2"/>
  <c r="L552" i="2"/>
  <c r="L302" i="2"/>
  <c r="L658" i="2"/>
  <c r="L179" i="2"/>
  <c r="L144" i="2"/>
  <c r="L587" i="2"/>
  <c r="L692" i="2"/>
  <c r="L588" i="2"/>
  <c r="L65" i="2"/>
  <c r="L674" i="2"/>
  <c r="L323" i="2"/>
  <c r="L589" i="2"/>
  <c r="L378" i="2"/>
  <c r="L145" i="2"/>
  <c r="L379" i="2"/>
  <c r="L192" i="2"/>
  <c r="L358" i="2"/>
  <c r="L675" i="2"/>
  <c r="L120" i="2"/>
  <c r="L676" i="2"/>
  <c r="L677" i="2"/>
  <c r="L380" i="2"/>
  <c r="L659" i="2"/>
  <c r="L693" i="2"/>
  <c r="L451" i="2"/>
  <c r="L90" i="2"/>
  <c r="L678" i="2"/>
  <c r="L341" i="2"/>
  <c r="L660" i="2"/>
  <c r="L146" i="2"/>
  <c r="L540" i="2"/>
  <c r="L553" i="2"/>
  <c r="L258" i="2"/>
  <c r="L121" i="2"/>
  <c r="L28" i="2"/>
  <c r="L590" i="2"/>
  <c r="L122" i="2"/>
  <c r="L694" i="2"/>
  <c r="L591" i="2"/>
  <c r="L679" i="2"/>
  <c r="L159" i="2"/>
  <c r="L381" i="2"/>
  <c r="L324" i="2"/>
  <c r="L342" i="2"/>
  <c r="L217" i="2"/>
  <c r="L452" i="2"/>
  <c r="L695" i="2"/>
  <c r="L325" i="2"/>
  <c r="L571" i="2"/>
  <c r="L510" i="2"/>
  <c r="L343" i="2"/>
  <c r="L103" i="2"/>
  <c r="L382" i="2"/>
  <c r="L104" i="2"/>
  <c r="L29" i="2"/>
  <c r="L592" i="2"/>
  <c r="L123" i="2"/>
  <c r="L259" i="2"/>
  <c r="L436" i="2"/>
  <c r="L344" i="2"/>
  <c r="L639" i="2"/>
  <c r="L593" i="2"/>
  <c r="L554" i="2"/>
  <c r="L13" i="2"/>
  <c r="L283" i="2"/>
  <c r="L483" i="2"/>
  <c r="L124" i="2"/>
  <c r="L66" i="2"/>
  <c r="L303" i="2"/>
  <c r="L541" i="2"/>
  <c r="L511" i="2"/>
  <c r="L304" i="2"/>
  <c r="L512" i="2"/>
  <c r="L616" i="2"/>
  <c r="L661" i="2"/>
  <c r="L105" i="2"/>
  <c r="L260" i="2"/>
  <c r="L125" i="2"/>
  <c r="L437" i="2"/>
  <c r="L696" i="2"/>
  <c r="L261" i="2"/>
  <c r="L47" i="2"/>
  <c r="L91" i="2"/>
  <c r="L48" i="2"/>
  <c r="L92" i="2"/>
  <c r="L383" i="2"/>
  <c r="L542" i="2"/>
  <c r="L326" i="2"/>
  <c r="L93" i="2"/>
  <c r="L30" i="2"/>
  <c r="L617" i="2"/>
  <c r="L160" i="2"/>
  <c r="L470" i="2"/>
  <c r="L359" i="2"/>
  <c r="L484" i="2"/>
  <c r="L345" i="2"/>
  <c r="L594" i="2"/>
  <c r="L384" i="2"/>
  <c r="L31" i="2"/>
  <c r="L595" i="2"/>
  <c r="L471" i="2"/>
  <c r="L161" i="2"/>
  <c r="L218" i="2"/>
  <c r="L405" i="2"/>
  <c r="L485" i="2"/>
  <c r="L662" i="2"/>
  <c r="L596" i="2"/>
  <c r="L438" i="2"/>
  <c r="L525" i="2"/>
  <c r="L406" i="2"/>
  <c r="L526" i="2"/>
  <c r="L453" i="2"/>
  <c r="L126" i="2"/>
  <c r="L640" i="2"/>
  <c r="L360" i="2"/>
  <c r="L472" i="2"/>
  <c r="L597" i="2"/>
  <c r="L555" i="2"/>
  <c r="L407" i="2"/>
  <c r="L262" i="2"/>
  <c r="L572" i="2"/>
  <c r="L106" i="2"/>
  <c r="L162" i="2"/>
  <c r="L408" i="2"/>
  <c r="L573" i="2"/>
  <c r="L127" i="2"/>
  <c r="L385" i="2"/>
  <c r="L543" i="2"/>
  <c r="L386" i="2"/>
  <c r="L163" i="2"/>
  <c r="L556" i="2"/>
  <c r="L128" i="2"/>
  <c r="L454" i="2"/>
  <c r="L697" i="2"/>
  <c r="L409" i="2"/>
  <c r="L455" i="2"/>
  <c r="L618" i="2"/>
  <c r="L129" i="2"/>
  <c r="L327" i="2"/>
  <c r="L574" i="2"/>
  <c r="L94" i="2"/>
  <c r="L107" i="2"/>
  <c r="L193" i="2"/>
  <c r="L14" i="2"/>
  <c r="L641" i="2"/>
  <c r="L180" i="2"/>
  <c r="L235" i="2"/>
  <c r="L557" i="2"/>
  <c r="L236" i="2"/>
  <c r="L284" i="2"/>
  <c r="L263" i="2"/>
  <c r="L108" i="2"/>
  <c r="L410" i="2"/>
  <c r="L575" i="2"/>
  <c r="L328" i="2"/>
  <c r="L663" i="2"/>
  <c r="L194" i="2"/>
  <c r="L387" i="2"/>
  <c r="L664" i="2"/>
  <c r="L181" i="2"/>
  <c r="L388" i="2"/>
  <c r="L361" i="2"/>
  <c r="L15" i="2"/>
  <c r="L619" i="2"/>
  <c r="L32" i="2"/>
  <c r="L264" i="2"/>
  <c r="L109" i="2"/>
  <c r="L346" i="2"/>
  <c r="L620" i="2"/>
  <c r="L130" i="2"/>
  <c r="L411" i="2"/>
  <c r="L544" i="2"/>
  <c r="L558" i="2"/>
  <c r="L16" i="2"/>
  <c r="L698" i="2"/>
  <c r="L699" i="2"/>
  <c r="L545" i="2"/>
  <c r="L67" i="2"/>
  <c r="L285" i="2"/>
  <c r="L412" i="2"/>
  <c r="L389" i="2"/>
  <c r="L219" i="2"/>
  <c r="L362" i="2"/>
  <c r="L413" i="2"/>
  <c r="L147" i="2"/>
  <c r="L363" i="2"/>
  <c r="L621" i="2"/>
  <c r="L33" i="2"/>
  <c r="L237" i="2"/>
  <c r="L182" i="2"/>
  <c r="L347" i="2"/>
  <c r="L238" i="2"/>
  <c r="L700" i="2"/>
  <c r="L576" i="2"/>
  <c r="L148" i="2"/>
  <c r="L239" i="2"/>
  <c r="L486" i="2"/>
  <c r="L131" i="2"/>
  <c r="L49" i="2"/>
  <c r="L414" i="2"/>
  <c r="L390" i="2"/>
  <c r="L513" i="2"/>
  <c r="L642" i="2"/>
  <c r="L456" i="2"/>
  <c r="L34" i="2"/>
  <c r="L680" i="2"/>
  <c r="L559" i="2"/>
  <c r="L286" i="2"/>
  <c r="L50" i="2"/>
  <c r="L701" i="2"/>
  <c r="L665" i="2"/>
  <c r="L149" i="2"/>
  <c r="L514" i="2"/>
  <c r="L457" i="2"/>
  <c r="L391" i="2"/>
  <c r="L240" i="2"/>
  <c r="K35" i="2"/>
  <c r="K183" i="2"/>
  <c r="K265" i="2"/>
  <c r="K51" i="2"/>
  <c r="K164" i="2"/>
  <c r="K473" i="2"/>
  <c r="K364" i="2"/>
  <c r="K622" i="2"/>
  <c r="K195" i="2"/>
  <c r="K515" i="2"/>
  <c r="K516" i="2"/>
  <c r="K643" i="2"/>
  <c r="K681" i="2"/>
  <c r="K682" i="2"/>
  <c r="K196" i="2"/>
  <c r="K644" i="2"/>
  <c r="K458" i="2"/>
  <c r="K348" i="2"/>
  <c r="K439" i="2"/>
  <c r="K487" i="2"/>
  <c r="K365" i="2"/>
  <c r="K366" i="2"/>
  <c r="K305" i="2"/>
  <c r="K598" i="2"/>
  <c r="K306" i="2"/>
  <c r="K2" i="2"/>
  <c r="K220" i="2"/>
  <c r="K623" i="2"/>
  <c r="K527" i="2"/>
  <c r="K528" i="2"/>
  <c r="K266" i="2"/>
  <c r="K459" i="2"/>
  <c r="K683" i="2"/>
  <c r="K460" i="2"/>
  <c r="K68" i="2"/>
  <c r="K577" i="2"/>
  <c r="K529" i="2"/>
  <c r="K367" i="2"/>
  <c r="K165" i="2"/>
  <c r="K474" i="2"/>
  <c r="K166" i="2"/>
  <c r="K52" i="2"/>
  <c r="K546" i="2"/>
  <c r="K599" i="2"/>
  <c r="K600" i="2"/>
  <c r="K530" i="2"/>
  <c r="K601" i="2"/>
  <c r="K578" i="2"/>
  <c r="K645" i="2"/>
  <c r="K36" i="2"/>
  <c r="K184" i="2"/>
  <c r="K517" i="2"/>
  <c r="K267" i="2"/>
  <c r="K392" i="2"/>
  <c r="K415" i="2"/>
  <c r="K3" i="2"/>
  <c r="K167" i="2"/>
  <c r="K624" i="2"/>
  <c r="K488" i="2"/>
  <c r="K17" i="2"/>
  <c r="K602" i="2"/>
  <c r="K197" i="2"/>
  <c r="K307" i="2"/>
  <c r="K198" i="2"/>
  <c r="K560" i="2"/>
  <c r="K268" i="2"/>
  <c r="K646" i="2"/>
  <c r="K4" i="2"/>
  <c r="K241" i="2"/>
  <c r="K393" i="2"/>
  <c r="K647" i="2"/>
  <c r="K199" i="2"/>
  <c r="K242" i="2"/>
  <c r="K518" i="2"/>
  <c r="K461" i="2"/>
  <c r="K18" i="2"/>
  <c r="K185" i="2"/>
  <c r="K489" i="2"/>
  <c r="K69" i="2"/>
  <c r="K287" i="2"/>
  <c r="K490" i="2"/>
  <c r="K603" i="2"/>
  <c r="K648" i="2"/>
  <c r="K221" i="2"/>
  <c r="K308" i="2"/>
  <c r="K475" i="2"/>
  <c r="K168" i="2"/>
  <c r="K53" i="2"/>
  <c r="K416" i="2"/>
  <c r="K5" i="2"/>
  <c r="K368" i="2"/>
  <c r="K417" i="2"/>
  <c r="K37" i="2"/>
  <c r="K200" i="2"/>
  <c r="K666" i="2"/>
  <c r="K561" i="2"/>
  <c r="K95" i="2"/>
  <c r="K604" i="2"/>
  <c r="K186" i="2"/>
  <c r="K269" i="2"/>
  <c r="K169" i="2"/>
  <c r="K605" i="2"/>
  <c r="K19" i="2"/>
  <c r="K349" i="2"/>
  <c r="K562" i="2"/>
  <c r="K70" i="2"/>
  <c r="K563" i="2"/>
  <c r="K462" i="2"/>
  <c r="K667" i="2"/>
  <c r="K329" i="2"/>
  <c r="K6" i="2"/>
  <c r="K625" i="2"/>
  <c r="K222" i="2"/>
  <c r="K440" i="2"/>
  <c r="K369" i="2"/>
  <c r="K71" i="2"/>
  <c r="K463" i="2"/>
  <c r="K684" i="2"/>
  <c r="K547" i="2"/>
  <c r="K20" i="2"/>
  <c r="K418" i="2"/>
  <c r="K330" i="2"/>
  <c r="K685" i="2"/>
  <c r="K548" i="2"/>
  <c r="K72" i="2"/>
  <c r="K579" i="2"/>
  <c r="K626" i="2"/>
  <c r="K132" i="2"/>
  <c r="K370" i="2"/>
  <c r="K441" i="2"/>
  <c r="K288" i="2"/>
  <c r="K442" i="2"/>
  <c r="K394" i="2"/>
  <c r="K419" i="2"/>
  <c r="K420" i="2"/>
  <c r="K519" i="2"/>
  <c r="K243" i="2"/>
  <c r="K627" i="2"/>
  <c r="K421" i="2"/>
  <c r="K606" i="2"/>
  <c r="K371" i="2"/>
  <c r="K309" i="2"/>
  <c r="K270" i="2"/>
  <c r="K580" i="2"/>
  <c r="K491" i="2"/>
  <c r="K150" i="2"/>
  <c r="K395" i="2"/>
  <c r="K289" i="2"/>
  <c r="K628" i="2"/>
  <c r="K443" i="2"/>
  <c r="K170" i="2"/>
  <c r="K350" i="2"/>
  <c r="K171" i="2"/>
  <c r="K396" i="2"/>
  <c r="K649" i="2"/>
  <c r="K21" i="2"/>
  <c r="K476" i="2"/>
  <c r="K201" i="2"/>
  <c r="K38" i="2"/>
  <c r="K422" i="2"/>
  <c r="K686" i="2"/>
  <c r="K244" i="2"/>
  <c r="K629" i="2"/>
  <c r="K464" i="2"/>
  <c r="K351" i="2"/>
  <c r="K531" i="2"/>
  <c r="K607" i="2"/>
  <c r="K310" i="2"/>
  <c r="K271" i="2"/>
  <c r="K96" i="2"/>
  <c r="K73" i="2"/>
  <c r="K492" i="2"/>
  <c r="K39" i="2"/>
  <c r="K650" i="2"/>
  <c r="K223" i="2"/>
  <c r="K22" i="2"/>
  <c r="K202" i="2"/>
  <c r="K465" i="2"/>
  <c r="K493" i="2"/>
  <c r="K397" i="2"/>
  <c r="K203" i="2"/>
  <c r="K54" i="2"/>
  <c r="K423" i="2"/>
  <c r="K272" i="2"/>
  <c r="K172" i="2"/>
  <c r="K651" i="2"/>
  <c r="K187" i="2"/>
  <c r="K110" i="2"/>
  <c r="K398" i="2"/>
  <c r="K273" i="2"/>
  <c r="K424" i="2"/>
  <c r="K399" i="2"/>
  <c r="K23" i="2"/>
  <c r="K564" i="2"/>
  <c r="K668" i="2"/>
  <c r="K425" i="2"/>
  <c r="K630" i="2"/>
  <c r="K311" i="2"/>
  <c r="K133" i="2"/>
  <c r="K204" i="2"/>
  <c r="K400" i="2"/>
  <c r="K401" i="2"/>
  <c r="K205" i="2"/>
  <c r="K188" i="2"/>
  <c r="K173" i="2"/>
  <c r="K74" i="2"/>
  <c r="K245" i="2"/>
  <c r="K631" i="2"/>
  <c r="K274" i="2"/>
  <c r="K520" i="2"/>
  <c r="K652" i="2"/>
  <c r="K494" i="2"/>
  <c r="K290" i="2"/>
  <c r="K477" i="2"/>
  <c r="K312" i="2"/>
  <c r="K291" i="2"/>
  <c r="K55" i="2"/>
  <c r="K478" i="2"/>
  <c r="K206" i="2"/>
  <c r="K207" i="2"/>
  <c r="K495" i="2"/>
  <c r="K479" i="2"/>
  <c r="K608" i="2"/>
  <c r="K275" i="2"/>
  <c r="K532" i="2"/>
  <c r="K189" i="2"/>
  <c r="K151" i="2"/>
  <c r="K246" i="2"/>
  <c r="K75" i="2"/>
  <c r="K208" i="2"/>
  <c r="K134" i="2"/>
  <c r="K313" i="2"/>
  <c r="K7" i="2"/>
  <c r="K352" i="2"/>
  <c r="K24" i="2"/>
  <c r="K444" i="2"/>
  <c r="K372" i="2"/>
  <c r="K76" i="2"/>
  <c r="K687" i="2"/>
  <c r="K653" i="2"/>
  <c r="K609" i="2"/>
  <c r="K40" i="2"/>
  <c r="K247" i="2"/>
  <c r="K353" i="2"/>
  <c r="K549" i="2"/>
  <c r="K77" i="2"/>
  <c r="K581" i="2"/>
  <c r="K152" i="2"/>
  <c r="K521" i="2"/>
  <c r="K153" i="2"/>
  <c r="K533" i="2"/>
  <c r="K97" i="2"/>
  <c r="K56" i="2"/>
  <c r="K534" i="2"/>
  <c r="K209" i="2"/>
  <c r="K535" i="2"/>
  <c r="K135" i="2"/>
  <c r="K224" i="2"/>
  <c r="K565" i="2"/>
  <c r="K292" i="2"/>
  <c r="K566" i="2"/>
  <c r="K669" i="2"/>
  <c r="K293" i="2"/>
  <c r="K582" i="2"/>
  <c r="K632" i="2"/>
  <c r="K610" i="2"/>
  <c r="K331" i="2"/>
  <c r="K670" i="2"/>
  <c r="K78" i="2"/>
  <c r="K57" i="2"/>
  <c r="K332" i="2"/>
  <c r="K536" i="2"/>
  <c r="K633" i="2"/>
  <c r="K276" i="2"/>
  <c r="K225" i="2"/>
  <c r="K445" i="2"/>
  <c r="K25" i="2"/>
  <c r="K154" i="2"/>
  <c r="K688" i="2"/>
  <c r="K426" i="2"/>
  <c r="K294" i="2"/>
  <c r="K174" i="2"/>
  <c r="K654" i="2"/>
  <c r="K496" i="2"/>
  <c r="K210" i="2"/>
  <c r="K427" i="2"/>
  <c r="K226" i="2"/>
  <c r="K446" i="2"/>
  <c r="K689" i="2"/>
  <c r="K295" i="2"/>
  <c r="K634" i="2"/>
  <c r="K41" i="2"/>
  <c r="K79" i="2"/>
  <c r="K111" i="2"/>
  <c r="K567" i="2"/>
  <c r="K155" i="2"/>
  <c r="K248" i="2"/>
  <c r="K497" i="2"/>
  <c r="K373" i="2"/>
  <c r="K498" i="2"/>
  <c r="K58" i="2"/>
  <c r="K522" i="2"/>
  <c r="K523" i="2"/>
  <c r="K249" i="2"/>
  <c r="K80" i="2"/>
  <c r="K250" i="2"/>
  <c r="K690" i="2"/>
  <c r="K499" i="2"/>
  <c r="K296" i="2"/>
  <c r="K333" i="2"/>
  <c r="K98" i="2"/>
  <c r="K59" i="2"/>
  <c r="K635" i="2"/>
  <c r="K277" i="2"/>
  <c r="K374" i="2"/>
  <c r="K314" i="2"/>
  <c r="K227" i="2"/>
  <c r="K251" i="2"/>
  <c r="K156" i="2"/>
  <c r="K480" i="2"/>
  <c r="K428" i="2"/>
  <c r="K429" i="2"/>
  <c r="K568" i="2"/>
  <c r="K42" i="2"/>
  <c r="K671" i="2"/>
  <c r="K112" i="2"/>
  <c r="K136" i="2"/>
  <c r="K315" i="2"/>
  <c r="K211" i="2"/>
  <c r="K99" i="2"/>
  <c r="K447" i="2"/>
  <c r="K100" i="2"/>
  <c r="K297" i="2"/>
  <c r="K636" i="2"/>
  <c r="K316" i="2"/>
  <c r="K448" i="2"/>
  <c r="K228" i="2"/>
  <c r="K466" i="2"/>
  <c r="K190" i="2"/>
  <c r="K113" i="2"/>
  <c r="K402" i="2"/>
  <c r="K317" i="2"/>
  <c r="K334" i="2"/>
  <c r="K403" i="2"/>
  <c r="K375" i="2"/>
  <c r="K481" i="2"/>
  <c r="K354" i="2"/>
  <c r="K8" i="2"/>
  <c r="K355" i="2"/>
  <c r="K229" i="2"/>
  <c r="K404" i="2"/>
  <c r="K60" i="2"/>
  <c r="K114" i="2"/>
  <c r="K9" i="2"/>
  <c r="K230" i="2"/>
  <c r="K252" i="2"/>
  <c r="K81" i="2"/>
  <c r="K356" i="2"/>
  <c r="K10" i="2"/>
  <c r="K655" i="2"/>
  <c r="K137" i="2"/>
  <c r="K138" i="2"/>
  <c r="K500" i="2"/>
  <c r="K467" i="2"/>
  <c r="K482" i="2"/>
  <c r="K524" i="2"/>
  <c r="K501" i="2"/>
  <c r="K468" i="2"/>
  <c r="K115" i="2"/>
  <c r="K611" i="2"/>
  <c r="K43" i="2"/>
  <c r="K612" i="2"/>
  <c r="K550" i="2"/>
  <c r="K298" i="2"/>
  <c r="K376" i="2"/>
  <c r="K583" i="2"/>
  <c r="K278" i="2"/>
  <c r="K44" i="2"/>
  <c r="K61" i="2"/>
  <c r="K656" i="2"/>
  <c r="K537" i="2"/>
  <c r="K45" i="2"/>
  <c r="K26" i="2"/>
  <c r="K253" i="2"/>
  <c r="K430" i="2"/>
  <c r="K672" i="2"/>
  <c r="K82" i="2"/>
  <c r="K175" i="2"/>
  <c r="K139" i="2"/>
  <c r="K212" i="2"/>
  <c r="K279" i="2"/>
  <c r="K254" i="2"/>
  <c r="K318" i="2"/>
  <c r="K335" i="2"/>
  <c r="K357" i="2"/>
  <c r="K280" i="2"/>
  <c r="K502" i="2"/>
  <c r="K213" i="2"/>
  <c r="K336" i="2"/>
  <c r="K83" i="2"/>
  <c r="K637" i="2"/>
  <c r="K231" i="2"/>
  <c r="K214" i="2"/>
  <c r="K584" i="2"/>
  <c r="K191" i="2"/>
  <c r="K613" i="2"/>
  <c r="K299" i="2"/>
  <c r="K614" i="2"/>
  <c r="K615" i="2"/>
  <c r="K538" i="2"/>
  <c r="K101" i="2"/>
  <c r="K140" i="2"/>
  <c r="K232" i="2"/>
  <c r="K62" i="2"/>
  <c r="K116" i="2"/>
  <c r="K503" i="2"/>
  <c r="K233" i="2"/>
  <c r="K84" i="2"/>
  <c r="K431" i="2"/>
  <c r="K504" i="2"/>
  <c r="K234" i="2"/>
  <c r="K505" i="2"/>
  <c r="K102" i="2"/>
  <c r="K215" i="2"/>
  <c r="K569" i="2"/>
  <c r="K337" i="2"/>
  <c r="K338" i="2"/>
  <c r="K506" i="2"/>
  <c r="K157" i="2"/>
  <c r="K585" i="2"/>
  <c r="K117" i="2"/>
  <c r="K319" i="2"/>
  <c r="K539" i="2"/>
  <c r="K85" i="2"/>
  <c r="K638" i="2"/>
  <c r="K507" i="2"/>
  <c r="K255" i="2"/>
  <c r="K449" i="2"/>
  <c r="K63" i="2"/>
  <c r="K570" i="2"/>
  <c r="K86" i="2"/>
  <c r="K27" i="2"/>
  <c r="K320" i="2"/>
  <c r="K508" i="2"/>
  <c r="K586" i="2"/>
  <c r="K87" i="2"/>
  <c r="K657" i="2"/>
  <c r="K432" i="2"/>
  <c r="K176" i="2"/>
  <c r="K141" i="2"/>
  <c r="K433" i="2"/>
  <c r="K434" i="2"/>
  <c r="K142" i="2"/>
  <c r="K118" i="2"/>
  <c r="K158" i="2"/>
  <c r="K377" i="2"/>
  <c r="K435" i="2"/>
  <c r="K143" i="2"/>
  <c r="K339" i="2"/>
  <c r="K551" i="2"/>
  <c r="K509" i="2"/>
  <c r="K340" i="2"/>
  <c r="K119" i="2"/>
  <c r="K300" i="2"/>
  <c r="K281" i="2"/>
  <c r="K177" i="2"/>
  <c r="K46" i="2"/>
  <c r="K691" i="2"/>
  <c r="K301" i="2"/>
  <c r="K178" i="2"/>
  <c r="K256" i="2"/>
  <c r="K450" i="2"/>
  <c r="K321" i="2"/>
  <c r="K469" i="2"/>
  <c r="K11" i="2"/>
  <c r="K12" i="2"/>
  <c r="K257" i="2"/>
  <c r="K673" i="2"/>
  <c r="K64" i="2"/>
  <c r="K88" i="2"/>
  <c r="K216" i="2"/>
  <c r="K89" i="2"/>
  <c r="K322" i="2"/>
  <c r="K282" i="2"/>
  <c r="K552" i="2"/>
  <c r="K302" i="2"/>
  <c r="K658" i="2"/>
  <c r="K179" i="2"/>
  <c r="K144" i="2"/>
  <c r="K587" i="2"/>
  <c r="K692" i="2"/>
  <c r="K588" i="2"/>
  <c r="K65" i="2"/>
  <c r="K674" i="2"/>
  <c r="K323" i="2"/>
  <c r="K589" i="2"/>
  <c r="K378" i="2"/>
  <c r="K145" i="2"/>
  <c r="K379" i="2"/>
  <c r="K192" i="2"/>
  <c r="K358" i="2"/>
  <c r="K675" i="2"/>
  <c r="K120" i="2"/>
  <c r="K676" i="2"/>
  <c r="K677" i="2"/>
  <c r="K380" i="2"/>
  <c r="K659" i="2"/>
  <c r="K693" i="2"/>
  <c r="K451" i="2"/>
  <c r="K90" i="2"/>
  <c r="K678" i="2"/>
  <c r="K341" i="2"/>
  <c r="K660" i="2"/>
  <c r="K146" i="2"/>
  <c r="K540" i="2"/>
  <c r="K553" i="2"/>
  <c r="K258" i="2"/>
  <c r="K121" i="2"/>
  <c r="K28" i="2"/>
  <c r="K590" i="2"/>
  <c r="K122" i="2"/>
  <c r="K694" i="2"/>
  <c r="K591" i="2"/>
  <c r="K679" i="2"/>
  <c r="K159" i="2"/>
  <c r="K381" i="2"/>
  <c r="K324" i="2"/>
  <c r="K342" i="2"/>
  <c r="K217" i="2"/>
  <c r="K452" i="2"/>
  <c r="K695" i="2"/>
  <c r="K325" i="2"/>
  <c r="K571" i="2"/>
  <c r="K510" i="2"/>
  <c r="K343" i="2"/>
  <c r="K103" i="2"/>
  <c r="K382" i="2"/>
  <c r="K104" i="2"/>
  <c r="K29" i="2"/>
  <c r="K592" i="2"/>
  <c r="K123" i="2"/>
  <c r="K259" i="2"/>
  <c r="K436" i="2"/>
  <c r="K344" i="2"/>
  <c r="K639" i="2"/>
  <c r="K593" i="2"/>
  <c r="K554" i="2"/>
  <c r="K13" i="2"/>
  <c r="K283" i="2"/>
  <c r="K483" i="2"/>
  <c r="K124" i="2"/>
  <c r="K66" i="2"/>
  <c r="K303" i="2"/>
  <c r="K541" i="2"/>
  <c r="K511" i="2"/>
  <c r="K304" i="2"/>
  <c r="K512" i="2"/>
  <c r="K616" i="2"/>
  <c r="K661" i="2"/>
  <c r="K105" i="2"/>
  <c r="K260" i="2"/>
  <c r="K125" i="2"/>
  <c r="K437" i="2"/>
  <c r="K696" i="2"/>
  <c r="K261" i="2"/>
  <c r="K47" i="2"/>
  <c r="K91" i="2"/>
  <c r="K48" i="2"/>
  <c r="K92" i="2"/>
  <c r="K383" i="2"/>
  <c r="K542" i="2"/>
  <c r="K326" i="2"/>
  <c r="K93" i="2"/>
  <c r="K30" i="2"/>
  <c r="K617" i="2"/>
  <c r="K160" i="2"/>
  <c r="K470" i="2"/>
  <c r="K359" i="2"/>
  <c r="K484" i="2"/>
  <c r="K345" i="2"/>
  <c r="K594" i="2"/>
  <c r="K384" i="2"/>
  <c r="K31" i="2"/>
  <c r="K595" i="2"/>
  <c r="K471" i="2"/>
  <c r="K161" i="2"/>
  <c r="K218" i="2"/>
  <c r="K405" i="2"/>
  <c r="K485" i="2"/>
  <c r="K662" i="2"/>
  <c r="K596" i="2"/>
  <c r="K438" i="2"/>
  <c r="K525" i="2"/>
  <c r="K406" i="2"/>
  <c r="K526" i="2"/>
  <c r="K453" i="2"/>
  <c r="K126" i="2"/>
  <c r="K640" i="2"/>
  <c r="K360" i="2"/>
  <c r="K472" i="2"/>
  <c r="K597" i="2"/>
  <c r="K555" i="2"/>
  <c r="K407" i="2"/>
  <c r="K262" i="2"/>
  <c r="K572" i="2"/>
  <c r="K106" i="2"/>
  <c r="K162" i="2"/>
  <c r="K408" i="2"/>
  <c r="K573" i="2"/>
  <c r="K127" i="2"/>
  <c r="K385" i="2"/>
  <c r="K543" i="2"/>
  <c r="K386" i="2"/>
  <c r="K163" i="2"/>
  <c r="K556" i="2"/>
  <c r="K128" i="2"/>
  <c r="K454" i="2"/>
  <c r="K697" i="2"/>
  <c r="K409" i="2"/>
  <c r="K455" i="2"/>
  <c r="K618" i="2"/>
  <c r="K129" i="2"/>
  <c r="K327" i="2"/>
  <c r="K574" i="2"/>
  <c r="K94" i="2"/>
  <c r="K107" i="2"/>
  <c r="K193" i="2"/>
  <c r="K14" i="2"/>
  <c r="K641" i="2"/>
  <c r="K180" i="2"/>
  <c r="K235" i="2"/>
  <c r="K557" i="2"/>
  <c r="K236" i="2"/>
  <c r="K284" i="2"/>
  <c r="K263" i="2"/>
  <c r="K108" i="2"/>
  <c r="K410" i="2"/>
  <c r="K575" i="2"/>
  <c r="K328" i="2"/>
  <c r="K663" i="2"/>
  <c r="K194" i="2"/>
  <c r="K387" i="2"/>
  <c r="K664" i="2"/>
  <c r="K181" i="2"/>
  <c r="K388" i="2"/>
  <c r="K361" i="2"/>
  <c r="K15" i="2"/>
  <c r="K619" i="2"/>
  <c r="K32" i="2"/>
  <c r="K264" i="2"/>
  <c r="K109" i="2"/>
  <c r="K346" i="2"/>
  <c r="K620" i="2"/>
  <c r="K130" i="2"/>
  <c r="K411" i="2"/>
  <c r="K544" i="2"/>
  <c r="K558" i="2"/>
  <c r="K16" i="2"/>
  <c r="K698" i="2"/>
  <c r="K699" i="2"/>
  <c r="K545" i="2"/>
  <c r="K67" i="2"/>
  <c r="K285" i="2"/>
  <c r="K412" i="2"/>
  <c r="K389" i="2"/>
  <c r="K219" i="2"/>
  <c r="K362" i="2"/>
  <c r="K413" i="2"/>
  <c r="K147" i="2"/>
  <c r="K363" i="2"/>
  <c r="K621" i="2"/>
  <c r="K33" i="2"/>
  <c r="K237" i="2"/>
  <c r="K182" i="2"/>
  <c r="K347" i="2"/>
  <c r="K238" i="2"/>
  <c r="K700" i="2"/>
  <c r="K576" i="2"/>
  <c r="K148" i="2"/>
  <c r="K239" i="2"/>
  <c r="K486" i="2"/>
  <c r="K131" i="2"/>
  <c r="K49" i="2"/>
  <c r="K414" i="2"/>
  <c r="K390" i="2"/>
  <c r="K513" i="2"/>
  <c r="K642" i="2"/>
  <c r="K456" i="2"/>
  <c r="K34" i="2"/>
  <c r="K680" i="2"/>
  <c r="K559" i="2"/>
  <c r="K286" i="2"/>
  <c r="K50" i="2"/>
  <c r="K701" i="2"/>
  <c r="K665" i="2"/>
  <c r="K149" i="2"/>
  <c r="K514" i="2"/>
  <c r="K457" i="2"/>
  <c r="K391" i="2"/>
  <c r="K240" i="2"/>
  <c r="J35" i="2"/>
  <c r="J183" i="2"/>
  <c r="J265" i="2"/>
  <c r="J51" i="2"/>
  <c r="J164" i="2"/>
  <c r="J473" i="2"/>
  <c r="J364" i="2"/>
  <c r="J622" i="2"/>
  <c r="J195" i="2"/>
  <c r="J515" i="2"/>
  <c r="J516" i="2"/>
  <c r="J643" i="2"/>
  <c r="J681" i="2"/>
  <c r="J682" i="2"/>
  <c r="J196" i="2"/>
  <c r="J644" i="2"/>
  <c r="J458" i="2"/>
  <c r="J348" i="2"/>
  <c r="J439" i="2"/>
  <c r="J487" i="2"/>
  <c r="J365" i="2"/>
  <c r="J366" i="2"/>
  <c r="J305" i="2"/>
  <c r="J598" i="2"/>
  <c r="J306" i="2"/>
  <c r="J2" i="2"/>
  <c r="J220" i="2"/>
  <c r="J623" i="2"/>
  <c r="J527" i="2"/>
  <c r="J528" i="2"/>
  <c r="J266" i="2"/>
  <c r="J459" i="2"/>
  <c r="J683" i="2"/>
  <c r="J460" i="2"/>
  <c r="J68" i="2"/>
  <c r="J577" i="2"/>
  <c r="J529" i="2"/>
  <c r="J367" i="2"/>
  <c r="J165" i="2"/>
  <c r="J474" i="2"/>
  <c r="J166" i="2"/>
  <c r="J52" i="2"/>
  <c r="J546" i="2"/>
  <c r="J599" i="2"/>
  <c r="J600" i="2"/>
  <c r="J530" i="2"/>
  <c r="J601" i="2"/>
  <c r="J578" i="2"/>
  <c r="J645" i="2"/>
  <c r="J36" i="2"/>
  <c r="J184" i="2"/>
  <c r="J517" i="2"/>
  <c r="J267" i="2"/>
  <c r="J392" i="2"/>
  <c r="J415" i="2"/>
  <c r="J3" i="2"/>
  <c r="J167" i="2"/>
  <c r="J624" i="2"/>
  <c r="J488" i="2"/>
  <c r="J17" i="2"/>
  <c r="J602" i="2"/>
  <c r="J197" i="2"/>
  <c r="J307" i="2"/>
  <c r="J198" i="2"/>
  <c r="J560" i="2"/>
  <c r="J268" i="2"/>
  <c r="J646" i="2"/>
  <c r="J4" i="2"/>
  <c r="J241" i="2"/>
  <c r="J393" i="2"/>
  <c r="J647" i="2"/>
  <c r="J199" i="2"/>
  <c r="J242" i="2"/>
  <c r="J518" i="2"/>
  <c r="J461" i="2"/>
  <c r="J18" i="2"/>
  <c r="J185" i="2"/>
  <c r="J489" i="2"/>
  <c r="J69" i="2"/>
  <c r="J287" i="2"/>
  <c r="J490" i="2"/>
  <c r="J603" i="2"/>
  <c r="J648" i="2"/>
  <c r="J221" i="2"/>
  <c r="J308" i="2"/>
  <c r="J475" i="2"/>
  <c r="J168" i="2"/>
  <c r="J53" i="2"/>
  <c r="J416" i="2"/>
  <c r="J5" i="2"/>
  <c r="J368" i="2"/>
  <c r="J417" i="2"/>
  <c r="J37" i="2"/>
  <c r="J200" i="2"/>
  <c r="J666" i="2"/>
  <c r="J561" i="2"/>
  <c r="J95" i="2"/>
  <c r="J604" i="2"/>
  <c r="J186" i="2"/>
  <c r="J269" i="2"/>
  <c r="J169" i="2"/>
  <c r="J605" i="2"/>
  <c r="J19" i="2"/>
  <c r="J349" i="2"/>
  <c r="J562" i="2"/>
  <c r="J70" i="2"/>
  <c r="J563" i="2"/>
  <c r="J462" i="2"/>
  <c r="J667" i="2"/>
  <c r="J329" i="2"/>
  <c r="J6" i="2"/>
  <c r="J625" i="2"/>
  <c r="J222" i="2"/>
  <c r="J440" i="2"/>
  <c r="J369" i="2"/>
  <c r="J71" i="2"/>
  <c r="J463" i="2"/>
  <c r="J684" i="2"/>
  <c r="J547" i="2"/>
  <c r="J20" i="2"/>
  <c r="J418" i="2"/>
  <c r="J330" i="2"/>
  <c r="J685" i="2"/>
  <c r="J548" i="2"/>
  <c r="J72" i="2"/>
  <c r="J579" i="2"/>
  <c r="J626" i="2"/>
  <c r="J132" i="2"/>
  <c r="J370" i="2"/>
  <c r="J441" i="2"/>
  <c r="J288" i="2"/>
  <c r="J442" i="2"/>
  <c r="J394" i="2"/>
  <c r="J419" i="2"/>
  <c r="J420" i="2"/>
  <c r="J519" i="2"/>
  <c r="J243" i="2"/>
  <c r="J627" i="2"/>
  <c r="J421" i="2"/>
  <c r="J606" i="2"/>
  <c r="J371" i="2"/>
  <c r="J309" i="2"/>
  <c r="J270" i="2"/>
  <c r="J580" i="2"/>
  <c r="J491" i="2"/>
  <c r="J150" i="2"/>
  <c r="J395" i="2"/>
  <c r="J289" i="2"/>
  <c r="J628" i="2"/>
  <c r="J443" i="2"/>
  <c r="J170" i="2"/>
  <c r="J350" i="2"/>
  <c r="J171" i="2"/>
  <c r="J396" i="2"/>
  <c r="J649" i="2"/>
  <c r="J21" i="2"/>
  <c r="J476" i="2"/>
  <c r="J201" i="2"/>
  <c r="J38" i="2"/>
  <c r="J422" i="2"/>
  <c r="J686" i="2"/>
  <c r="J244" i="2"/>
  <c r="J629" i="2"/>
  <c r="J464" i="2"/>
  <c r="J351" i="2"/>
  <c r="J531" i="2"/>
  <c r="J607" i="2"/>
  <c r="J310" i="2"/>
  <c r="J271" i="2"/>
  <c r="J96" i="2"/>
  <c r="J73" i="2"/>
  <c r="J492" i="2"/>
  <c r="J39" i="2"/>
  <c r="J650" i="2"/>
  <c r="J223" i="2"/>
  <c r="J22" i="2"/>
  <c r="J202" i="2"/>
  <c r="J465" i="2"/>
  <c r="J493" i="2"/>
  <c r="J397" i="2"/>
  <c r="J203" i="2"/>
  <c r="J54" i="2"/>
  <c r="J423" i="2"/>
  <c r="J272" i="2"/>
  <c r="J172" i="2"/>
  <c r="J651" i="2"/>
  <c r="J187" i="2"/>
  <c r="J110" i="2"/>
  <c r="J398" i="2"/>
  <c r="J273" i="2"/>
  <c r="J424" i="2"/>
  <c r="J399" i="2"/>
  <c r="J23" i="2"/>
  <c r="J564" i="2"/>
  <c r="J668" i="2"/>
  <c r="J425" i="2"/>
  <c r="J630" i="2"/>
  <c r="J311" i="2"/>
  <c r="J133" i="2"/>
  <c r="J204" i="2"/>
  <c r="J400" i="2"/>
  <c r="J401" i="2"/>
  <c r="J205" i="2"/>
  <c r="J188" i="2"/>
  <c r="J173" i="2"/>
  <c r="J74" i="2"/>
  <c r="J245" i="2"/>
  <c r="J631" i="2"/>
  <c r="J274" i="2"/>
  <c r="J520" i="2"/>
  <c r="J652" i="2"/>
  <c r="J494" i="2"/>
  <c r="J290" i="2"/>
  <c r="J477" i="2"/>
  <c r="J312" i="2"/>
  <c r="J291" i="2"/>
  <c r="J55" i="2"/>
  <c r="J478" i="2"/>
  <c r="J206" i="2"/>
  <c r="J207" i="2"/>
  <c r="J495" i="2"/>
  <c r="J479" i="2"/>
  <c r="J608" i="2"/>
  <c r="J275" i="2"/>
  <c r="J532" i="2"/>
  <c r="J189" i="2"/>
  <c r="J151" i="2"/>
  <c r="J246" i="2"/>
  <c r="J75" i="2"/>
  <c r="J208" i="2"/>
  <c r="J134" i="2"/>
  <c r="J313" i="2"/>
  <c r="J7" i="2"/>
  <c r="J352" i="2"/>
  <c r="J24" i="2"/>
  <c r="J444" i="2"/>
  <c r="J372" i="2"/>
  <c r="J76" i="2"/>
  <c r="J687" i="2"/>
  <c r="J653" i="2"/>
  <c r="J609" i="2"/>
  <c r="J40" i="2"/>
  <c r="J247" i="2"/>
  <c r="J353" i="2"/>
  <c r="J549" i="2"/>
  <c r="J77" i="2"/>
  <c r="J581" i="2"/>
  <c r="J152" i="2"/>
  <c r="J521" i="2"/>
  <c r="J153" i="2"/>
  <c r="J533" i="2"/>
  <c r="J97" i="2"/>
  <c r="J56" i="2"/>
  <c r="J534" i="2"/>
  <c r="J209" i="2"/>
  <c r="J535" i="2"/>
  <c r="J135" i="2"/>
  <c r="J224" i="2"/>
  <c r="J565" i="2"/>
  <c r="J292" i="2"/>
  <c r="J566" i="2"/>
  <c r="J669" i="2"/>
  <c r="J293" i="2"/>
  <c r="J582" i="2"/>
  <c r="J632" i="2"/>
  <c r="J610" i="2"/>
  <c r="J331" i="2"/>
  <c r="J670" i="2"/>
  <c r="J78" i="2"/>
  <c r="J57" i="2"/>
  <c r="J332" i="2"/>
  <c r="J536" i="2"/>
  <c r="J633" i="2"/>
  <c r="J276" i="2"/>
  <c r="J225" i="2"/>
  <c r="J445" i="2"/>
  <c r="J25" i="2"/>
  <c r="J154" i="2"/>
  <c r="J688" i="2"/>
  <c r="J426" i="2"/>
  <c r="J294" i="2"/>
  <c r="J174" i="2"/>
  <c r="J654" i="2"/>
  <c r="J496" i="2"/>
  <c r="J210" i="2"/>
  <c r="J427" i="2"/>
  <c r="J226" i="2"/>
  <c r="J446" i="2"/>
  <c r="J689" i="2"/>
  <c r="J295" i="2"/>
  <c r="J634" i="2"/>
  <c r="J41" i="2"/>
  <c r="J79" i="2"/>
  <c r="J111" i="2"/>
  <c r="J567" i="2"/>
  <c r="J155" i="2"/>
  <c r="J248" i="2"/>
  <c r="J497" i="2"/>
  <c r="J373" i="2"/>
  <c r="J498" i="2"/>
  <c r="J58" i="2"/>
  <c r="J522" i="2"/>
  <c r="J523" i="2"/>
  <c r="J249" i="2"/>
  <c r="J80" i="2"/>
  <c r="J250" i="2"/>
  <c r="J690" i="2"/>
  <c r="J499" i="2"/>
  <c r="J296" i="2"/>
  <c r="J333" i="2"/>
  <c r="J98" i="2"/>
  <c r="J59" i="2"/>
  <c r="J635" i="2"/>
  <c r="J277" i="2"/>
  <c r="J374" i="2"/>
  <c r="J314" i="2"/>
  <c r="J227" i="2"/>
  <c r="J251" i="2"/>
  <c r="J156" i="2"/>
  <c r="J480" i="2"/>
  <c r="J428" i="2"/>
  <c r="J429" i="2"/>
  <c r="J568" i="2"/>
  <c r="J42" i="2"/>
  <c r="J671" i="2"/>
  <c r="J112" i="2"/>
  <c r="J136" i="2"/>
  <c r="J315" i="2"/>
  <c r="J211" i="2"/>
  <c r="J99" i="2"/>
  <c r="J447" i="2"/>
  <c r="J100" i="2"/>
  <c r="J297" i="2"/>
  <c r="J636" i="2"/>
  <c r="J316" i="2"/>
  <c r="J448" i="2"/>
  <c r="J228" i="2"/>
  <c r="J466" i="2"/>
  <c r="J190" i="2"/>
  <c r="J113" i="2"/>
  <c r="J402" i="2"/>
  <c r="J317" i="2"/>
  <c r="J334" i="2"/>
  <c r="J403" i="2"/>
  <c r="J375" i="2"/>
  <c r="J481" i="2"/>
  <c r="J354" i="2"/>
  <c r="J8" i="2"/>
  <c r="J355" i="2"/>
  <c r="J229" i="2"/>
  <c r="J404" i="2"/>
  <c r="J60" i="2"/>
  <c r="J114" i="2"/>
  <c r="J9" i="2"/>
  <c r="J230" i="2"/>
  <c r="J252" i="2"/>
  <c r="J81" i="2"/>
  <c r="J356" i="2"/>
  <c r="J10" i="2"/>
  <c r="J655" i="2"/>
  <c r="J137" i="2"/>
  <c r="J138" i="2"/>
  <c r="J500" i="2"/>
  <c r="J467" i="2"/>
  <c r="J482" i="2"/>
  <c r="J524" i="2"/>
  <c r="J501" i="2"/>
  <c r="J468" i="2"/>
  <c r="J115" i="2"/>
  <c r="J611" i="2"/>
  <c r="J43" i="2"/>
  <c r="J612" i="2"/>
  <c r="J550" i="2"/>
  <c r="J298" i="2"/>
  <c r="J376" i="2"/>
  <c r="J583" i="2"/>
  <c r="J278" i="2"/>
  <c r="J44" i="2"/>
  <c r="J61" i="2"/>
  <c r="J656" i="2"/>
  <c r="J537" i="2"/>
  <c r="J45" i="2"/>
  <c r="J26" i="2"/>
  <c r="J253" i="2"/>
  <c r="J430" i="2"/>
  <c r="J672" i="2"/>
  <c r="J82" i="2"/>
  <c r="J175" i="2"/>
  <c r="J139" i="2"/>
  <c r="J212" i="2"/>
  <c r="J279" i="2"/>
  <c r="J254" i="2"/>
  <c r="J318" i="2"/>
  <c r="J335" i="2"/>
  <c r="J357" i="2"/>
  <c r="J280" i="2"/>
  <c r="J502" i="2"/>
  <c r="J213" i="2"/>
  <c r="J336" i="2"/>
  <c r="J83" i="2"/>
  <c r="J637" i="2"/>
  <c r="J231" i="2"/>
  <c r="J214" i="2"/>
  <c r="J584" i="2"/>
  <c r="J191" i="2"/>
  <c r="J613" i="2"/>
  <c r="J299" i="2"/>
  <c r="J614" i="2"/>
  <c r="J615" i="2"/>
  <c r="J538" i="2"/>
  <c r="J101" i="2"/>
  <c r="J140" i="2"/>
  <c r="J232" i="2"/>
  <c r="J62" i="2"/>
  <c r="J116" i="2"/>
  <c r="J503" i="2"/>
  <c r="J233" i="2"/>
  <c r="J84" i="2"/>
  <c r="J431" i="2"/>
  <c r="J504" i="2"/>
  <c r="J234" i="2"/>
  <c r="J505" i="2"/>
  <c r="J102" i="2"/>
  <c r="J215" i="2"/>
  <c r="J569" i="2"/>
  <c r="J337" i="2"/>
  <c r="J338" i="2"/>
  <c r="J506" i="2"/>
  <c r="J157" i="2"/>
  <c r="J585" i="2"/>
  <c r="J117" i="2"/>
  <c r="J319" i="2"/>
  <c r="J539" i="2"/>
  <c r="J85" i="2"/>
  <c r="J638" i="2"/>
  <c r="J507" i="2"/>
  <c r="J255" i="2"/>
  <c r="J449" i="2"/>
  <c r="J63" i="2"/>
  <c r="J570" i="2"/>
  <c r="J86" i="2"/>
  <c r="J27" i="2"/>
  <c r="J320" i="2"/>
  <c r="J508" i="2"/>
  <c r="J586" i="2"/>
  <c r="J87" i="2"/>
  <c r="J657" i="2"/>
  <c r="J432" i="2"/>
  <c r="J176" i="2"/>
  <c r="J141" i="2"/>
  <c r="J433" i="2"/>
  <c r="J434" i="2"/>
  <c r="J142" i="2"/>
  <c r="J118" i="2"/>
  <c r="J158" i="2"/>
  <c r="J377" i="2"/>
  <c r="J435" i="2"/>
  <c r="J143" i="2"/>
  <c r="J339" i="2"/>
  <c r="J551" i="2"/>
  <c r="J509" i="2"/>
  <c r="J340" i="2"/>
  <c r="J119" i="2"/>
  <c r="J300" i="2"/>
  <c r="J281" i="2"/>
  <c r="J177" i="2"/>
  <c r="J46" i="2"/>
  <c r="J691" i="2"/>
  <c r="J301" i="2"/>
  <c r="J178" i="2"/>
  <c r="J256" i="2"/>
  <c r="J450" i="2"/>
  <c r="J321" i="2"/>
  <c r="J469" i="2"/>
  <c r="J11" i="2"/>
  <c r="J12" i="2"/>
  <c r="J257" i="2"/>
  <c r="J673" i="2"/>
  <c r="J64" i="2"/>
  <c r="J88" i="2"/>
  <c r="J216" i="2"/>
  <c r="J89" i="2"/>
  <c r="J322" i="2"/>
  <c r="J282" i="2"/>
  <c r="J552" i="2"/>
  <c r="J302" i="2"/>
  <c r="J658" i="2"/>
  <c r="J179" i="2"/>
  <c r="J144" i="2"/>
  <c r="J587" i="2"/>
  <c r="J692" i="2"/>
  <c r="J588" i="2"/>
  <c r="J65" i="2"/>
  <c r="J674" i="2"/>
  <c r="J323" i="2"/>
  <c r="J589" i="2"/>
  <c r="J378" i="2"/>
  <c r="J145" i="2"/>
  <c r="J379" i="2"/>
  <c r="J192" i="2"/>
  <c r="J358" i="2"/>
  <c r="J675" i="2"/>
  <c r="J120" i="2"/>
  <c r="J676" i="2"/>
  <c r="J677" i="2"/>
  <c r="J380" i="2"/>
  <c r="J659" i="2"/>
  <c r="J693" i="2"/>
  <c r="J451" i="2"/>
  <c r="J90" i="2"/>
  <c r="J678" i="2"/>
  <c r="J341" i="2"/>
  <c r="J660" i="2"/>
  <c r="J146" i="2"/>
  <c r="J540" i="2"/>
  <c r="J553" i="2"/>
  <c r="J258" i="2"/>
  <c r="J121" i="2"/>
  <c r="J28" i="2"/>
  <c r="J590" i="2"/>
  <c r="J122" i="2"/>
  <c r="J694" i="2"/>
  <c r="J591" i="2"/>
  <c r="J679" i="2"/>
  <c r="J159" i="2"/>
  <c r="J381" i="2"/>
  <c r="J324" i="2"/>
  <c r="J342" i="2"/>
  <c r="J217" i="2"/>
  <c r="J452" i="2"/>
  <c r="J695" i="2"/>
  <c r="J325" i="2"/>
  <c r="J571" i="2"/>
  <c r="J510" i="2"/>
  <c r="J343" i="2"/>
  <c r="J103" i="2"/>
  <c r="J382" i="2"/>
  <c r="J104" i="2"/>
  <c r="J29" i="2"/>
  <c r="J592" i="2"/>
  <c r="J123" i="2"/>
  <c r="J259" i="2"/>
  <c r="J436" i="2"/>
  <c r="J344" i="2"/>
  <c r="J639" i="2"/>
  <c r="J593" i="2"/>
  <c r="J554" i="2"/>
  <c r="J13" i="2"/>
  <c r="J283" i="2"/>
  <c r="J483" i="2"/>
  <c r="J124" i="2"/>
  <c r="J66" i="2"/>
  <c r="J303" i="2"/>
  <c r="J541" i="2"/>
  <c r="J511" i="2"/>
  <c r="J304" i="2"/>
  <c r="J512" i="2"/>
  <c r="J616" i="2"/>
  <c r="J661" i="2"/>
  <c r="J105" i="2"/>
  <c r="J260" i="2"/>
  <c r="J125" i="2"/>
  <c r="J437" i="2"/>
  <c r="J696" i="2"/>
  <c r="J261" i="2"/>
  <c r="J47" i="2"/>
  <c r="J91" i="2"/>
  <c r="J48" i="2"/>
  <c r="J92" i="2"/>
  <c r="J383" i="2"/>
  <c r="J542" i="2"/>
  <c r="J326" i="2"/>
  <c r="J93" i="2"/>
  <c r="J30" i="2"/>
  <c r="J617" i="2"/>
  <c r="J160" i="2"/>
  <c r="J470" i="2"/>
  <c r="J359" i="2"/>
  <c r="J484" i="2"/>
  <c r="J345" i="2"/>
  <c r="J594" i="2"/>
  <c r="J384" i="2"/>
  <c r="J31" i="2"/>
  <c r="J595" i="2"/>
  <c r="J471" i="2"/>
  <c r="J161" i="2"/>
  <c r="J218" i="2"/>
  <c r="J405" i="2"/>
  <c r="J485" i="2"/>
  <c r="J662" i="2"/>
  <c r="J596" i="2"/>
  <c r="J438" i="2"/>
  <c r="J525" i="2"/>
  <c r="J406" i="2"/>
  <c r="J526" i="2"/>
  <c r="J453" i="2"/>
  <c r="J126" i="2"/>
  <c r="J640" i="2"/>
  <c r="J360" i="2"/>
  <c r="J472" i="2"/>
  <c r="J597" i="2"/>
  <c r="J555" i="2"/>
  <c r="J407" i="2"/>
  <c r="J262" i="2"/>
  <c r="J572" i="2"/>
  <c r="J106" i="2"/>
  <c r="J162" i="2"/>
  <c r="J408" i="2"/>
  <c r="J573" i="2"/>
  <c r="J127" i="2"/>
  <c r="J385" i="2"/>
  <c r="J543" i="2"/>
  <c r="J386" i="2"/>
  <c r="J163" i="2"/>
  <c r="J556" i="2"/>
  <c r="J128" i="2"/>
  <c r="J454" i="2"/>
  <c r="J697" i="2"/>
  <c r="J409" i="2"/>
  <c r="J455" i="2"/>
  <c r="J618" i="2"/>
  <c r="J129" i="2"/>
  <c r="J327" i="2"/>
  <c r="J574" i="2"/>
  <c r="J94" i="2"/>
  <c r="J107" i="2"/>
  <c r="J193" i="2"/>
  <c r="J14" i="2"/>
  <c r="J641" i="2"/>
  <c r="J180" i="2"/>
  <c r="J235" i="2"/>
  <c r="J557" i="2"/>
  <c r="J236" i="2"/>
  <c r="J284" i="2"/>
  <c r="J263" i="2"/>
  <c r="J108" i="2"/>
  <c r="J410" i="2"/>
  <c r="J575" i="2"/>
  <c r="J328" i="2"/>
  <c r="J663" i="2"/>
  <c r="J194" i="2"/>
  <c r="J387" i="2"/>
  <c r="J664" i="2"/>
  <c r="J181" i="2"/>
  <c r="J388" i="2"/>
  <c r="J361" i="2"/>
  <c r="J15" i="2"/>
  <c r="J619" i="2"/>
  <c r="J32" i="2"/>
  <c r="J264" i="2"/>
  <c r="J109" i="2"/>
  <c r="J346" i="2"/>
  <c r="J620" i="2"/>
  <c r="J130" i="2"/>
  <c r="J411" i="2"/>
  <c r="J544" i="2"/>
  <c r="J558" i="2"/>
  <c r="J16" i="2"/>
  <c r="J698" i="2"/>
  <c r="J699" i="2"/>
  <c r="J545" i="2"/>
  <c r="J67" i="2"/>
  <c r="J285" i="2"/>
  <c r="J412" i="2"/>
  <c r="J389" i="2"/>
  <c r="J219" i="2"/>
  <c r="J362" i="2"/>
  <c r="J413" i="2"/>
  <c r="J147" i="2"/>
  <c r="J363" i="2"/>
  <c r="J621" i="2"/>
  <c r="J33" i="2"/>
  <c r="J237" i="2"/>
  <c r="J182" i="2"/>
  <c r="J347" i="2"/>
  <c r="J238" i="2"/>
  <c r="J700" i="2"/>
  <c r="J576" i="2"/>
  <c r="J148" i="2"/>
  <c r="J239" i="2"/>
  <c r="J486" i="2"/>
  <c r="J131" i="2"/>
  <c r="J49" i="2"/>
  <c r="J414" i="2"/>
  <c r="J390" i="2"/>
  <c r="J513" i="2"/>
  <c r="J642" i="2"/>
  <c r="J456" i="2"/>
  <c r="J34" i="2"/>
  <c r="J680" i="2"/>
  <c r="J559" i="2"/>
  <c r="J286" i="2"/>
  <c r="J50" i="2"/>
  <c r="J701" i="2"/>
  <c r="J665" i="2"/>
  <c r="J149" i="2"/>
  <c r="J514" i="2"/>
  <c r="J457" i="2"/>
  <c r="J391" i="2"/>
  <c r="J240" i="2"/>
  <c r="I35" i="2"/>
  <c r="I183" i="2"/>
  <c r="I265" i="2"/>
  <c r="I51" i="2"/>
  <c r="I164" i="2"/>
  <c r="I473" i="2"/>
  <c r="I364" i="2"/>
  <c r="I622" i="2"/>
  <c r="I195" i="2"/>
  <c r="I515" i="2"/>
  <c r="I516" i="2"/>
  <c r="I643" i="2"/>
  <c r="I681" i="2"/>
  <c r="I682" i="2"/>
  <c r="I196" i="2"/>
  <c r="I644" i="2"/>
  <c r="I458" i="2"/>
  <c r="I348" i="2"/>
  <c r="I439" i="2"/>
  <c r="I487" i="2"/>
  <c r="I365" i="2"/>
  <c r="I366" i="2"/>
  <c r="I305" i="2"/>
  <c r="I598" i="2"/>
  <c r="I306" i="2"/>
  <c r="I2" i="2"/>
  <c r="I220" i="2"/>
  <c r="I623" i="2"/>
  <c r="I527" i="2"/>
  <c r="I528" i="2"/>
  <c r="I266" i="2"/>
  <c r="I459" i="2"/>
  <c r="I683" i="2"/>
  <c r="I460" i="2"/>
  <c r="I68" i="2"/>
  <c r="I577" i="2"/>
  <c r="I529" i="2"/>
  <c r="I367" i="2"/>
  <c r="I165" i="2"/>
  <c r="I474" i="2"/>
  <c r="I166" i="2"/>
  <c r="I52" i="2"/>
  <c r="I546" i="2"/>
  <c r="I599" i="2"/>
  <c r="I600" i="2"/>
  <c r="I530" i="2"/>
  <c r="I601" i="2"/>
  <c r="I578" i="2"/>
  <c r="I645" i="2"/>
  <c r="I36" i="2"/>
  <c r="I184" i="2"/>
  <c r="I517" i="2"/>
  <c r="I267" i="2"/>
  <c r="I392" i="2"/>
  <c r="I415" i="2"/>
  <c r="I3" i="2"/>
  <c r="I167" i="2"/>
  <c r="I624" i="2"/>
  <c r="I488" i="2"/>
  <c r="I17" i="2"/>
  <c r="I602" i="2"/>
  <c r="I197" i="2"/>
  <c r="I307" i="2"/>
  <c r="I198" i="2"/>
  <c r="I560" i="2"/>
  <c r="I268" i="2"/>
  <c r="I646" i="2"/>
  <c r="I4" i="2"/>
  <c r="I241" i="2"/>
  <c r="I393" i="2"/>
  <c r="I647" i="2"/>
  <c r="I199" i="2"/>
  <c r="I242" i="2"/>
  <c r="I518" i="2"/>
  <c r="I461" i="2"/>
  <c r="I18" i="2"/>
  <c r="I185" i="2"/>
  <c r="I489" i="2"/>
  <c r="I69" i="2"/>
  <c r="I287" i="2"/>
  <c r="I490" i="2"/>
  <c r="I603" i="2"/>
  <c r="I648" i="2"/>
  <c r="I221" i="2"/>
  <c r="I308" i="2"/>
  <c r="I475" i="2"/>
  <c r="I168" i="2"/>
  <c r="I53" i="2"/>
  <c r="I416" i="2"/>
  <c r="I5" i="2"/>
  <c r="I368" i="2"/>
  <c r="I417" i="2"/>
  <c r="I37" i="2"/>
  <c r="I200" i="2"/>
  <c r="I666" i="2"/>
  <c r="I561" i="2"/>
  <c r="I95" i="2"/>
  <c r="I604" i="2"/>
  <c r="I186" i="2"/>
  <c r="I269" i="2"/>
  <c r="I169" i="2"/>
  <c r="I605" i="2"/>
  <c r="I19" i="2"/>
  <c r="I349" i="2"/>
  <c r="I562" i="2"/>
  <c r="I70" i="2"/>
  <c r="I563" i="2"/>
  <c r="I462" i="2"/>
  <c r="I667" i="2"/>
  <c r="I329" i="2"/>
  <c r="I6" i="2"/>
  <c r="I625" i="2"/>
  <c r="I222" i="2"/>
  <c r="I440" i="2"/>
  <c r="I369" i="2"/>
  <c r="I71" i="2"/>
  <c r="I463" i="2"/>
  <c r="I684" i="2"/>
  <c r="I547" i="2"/>
  <c r="I20" i="2"/>
  <c r="I418" i="2"/>
  <c r="I330" i="2"/>
  <c r="I685" i="2"/>
  <c r="I548" i="2"/>
  <c r="I72" i="2"/>
  <c r="I579" i="2"/>
  <c r="I626" i="2"/>
  <c r="I132" i="2"/>
  <c r="I370" i="2"/>
  <c r="I441" i="2"/>
  <c r="I288" i="2"/>
  <c r="I442" i="2"/>
  <c r="I394" i="2"/>
  <c r="I419" i="2"/>
  <c r="I420" i="2"/>
  <c r="I519" i="2"/>
  <c r="I243" i="2"/>
  <c r="I627" i="2"/>
  <c r="I421" i="2"/>
  <c r="I606" i="2"/>
  <c r="I371" i="2"/>
  <c r="I309" i="2"/>
  <c r="I270" i="2"/>
  <c r="I580" i="2"/>
  <c r="I491" i="2"/>
  <c r="I150" i="2"/>
  <c r="I395" i="2"/>
  <c r="I289" i="2"/>
  <c r="I628" i="2"/>
  <c r="I443" i="2"/>
  <c r="I170" i="2"/>
  <c r="I350" i="2"/>
  <c r="I171" i="2"/>
  <c r="I396" i="2"/>
  <c r="I649" i="2"/>
  <c r="I21" i="2"/>
  <c r="I476" i="2"/>
  <c r="I201" i="2"/>
  <c r="I38" i="2"/>
  <c r="I422" i="2"/>
  <c r="I686" i="2"/>
  <c r="I244" i="2"/>
  <c r="I629" i="2"/>
  <c r="I464" i="2"/>
  <c r="I351" i="2"/>
  <c r="I531" i="2"/>
  <c r="I607" i="2"/>
  <c r="I310" i="2"/>
  <c r="I271" i="2"/>
  <c r="I96" i="2"/>
  <c r="I73" i="2"/>
  <c r="I492" i="2"/>
  <c r="I39" i="2"/>
  <c r="I650" i="2"/>
  <c r="I223" i="2"/>
  <c r="I22" i="2"/>
  <c r="I202" i="2"/>
  <c r="I465" i="2"/>
  <c r="I493" i="2"/>
  <c r="I397" i="2"/>
  <c r="I203" i="2"/>
  <c r="I54" i="2"/>
  <c r="I423" i="2"/>
  <c r="I272" i="2"/>
  <c r="I172" i="2"/>
  <c r="I651" i="2"/>
  <c r="I187" i="2"/>
  <c r="I110" i="2"/>
  <c r="I398" i="2"/>
  <c r="I273" i="2"/>
  <c r="I424" i="2"/>
  <c r="I399" i="2"/>
  <c r="I23" i="2"/>
  <c r="I564" i="2"/>
  <c r="I668" i="2"/>
  <c r="I425" i="2"/>
  <c r="I630" i="2"/>
  <c r="I311" i="2"/>
  <c r="I133" i="2"/>
  <c r="I204" i="2"/>
  <c r="I400" i="2"/>
  <c r="I401" i="2"/>
  <c r="I205" i="2"/>
  <c r="I188" i="2"/>
  <c r="I173" i="2"/>
  <c r="I74" i="2"/>
  <c r="I245" i="2"/>
  <c r="I631" i="2"/>
  <c r="I274" i="2"/>
  <c r="I520" i="2"/>
  <c r="I652" i="2"/>
  <c r="I494" i="2"/>
  <c r="I290" i="2"/>
  <c r="I477" i="2"/>
  <c r="I312" i="2"/>
  <c r="I291" i="2"/>
  <c r="I55" i="2"/>
  <c r="I478" i="2"/>
  <c r="I206" i="2"/>
  <c r="I207" i="2"/>
  <c r="I495" i="2"/>
  <c r="I479" i="2"/>
  <c r="I608" i="2"/>
  <c r="I275" i="2"/>
  <c r="I532" i="2"/>
  <c r="I189" i="2"/>
  <c r="I151" i="2"/>
  <c r="I246" i="2"/>
  <c r="I75" i="2"/>
  <c r="I208" i="2"/>
  <c r="I134" i="2"/>
  <c r="I313" i="2"/>
  <c r="I7" i="2"/>
  <c r="I352" i="2"/>
  <c r="I24" i="2"/>
  <c r="I444" i="2"/>
  <c r="I372" i="2"/>
  <c r="I76" i="2"/>
  <c r="I687" i="2"/>
  <c r="I653" i="2"/>
  <c r="I609" i="2"/>
  <c r="I40" i="2"/>
  <c r="I247" i="2"/>
  <c r="I353" i="2"/>
  <c r="I549" i="2"/>
  <c r="I77" i="2"/>
  <c r="I581" i="2"/>
  <c r="I152" i="2"/>
  <c r="I521" i="2"/>
  <c r="I153" i="2"/>
  <c r="I533" i="2"/>
  <c r="I97" i="2"/>
  <c r="I56" i="2"/>
  <c r="I534" i="2"/>
  <c r="I209" i="2"/>
  <c r="I535" i="2"/>
  <c r="I135" i="2"/>
  <c r="I224" i="2"/>
  <c r="I565" i="2"/>
  <c r="I292" i="2"/>
  <c r="I566" i="2"/>
  <c r="I669" i="2"/>
  <c r="I293" i="2"/>
  <c r="I582" i="2"/>
  <c r="I632" i="2"/>
  <c r="I610" i="2"/>
  <c r="I331" i="2"/>
  <c r="I670" i="2"/>
  <c r="I78" i="2"/>
  <c r="I57" i="2"/>
  <c r="I332" i="2"/>
  <c r="I536" i="2"/>
  <c r="I633" i="2"/>
  <c r="I276" i="2"/>
  <c r="I225" i="2"/>
  <c r="I445" i="2"/>
  <c r="I25" i="2"/>
  <c r="I154" i="2"/>
  <c r="I688" i="2"/>
  <c r="I426" i="2"/>
  <c r="I294" i="2"/>
  <c r="I174" i="2"/>
  <c r="I654" i="2"/>
  <c r="I496" i="2"/>
  <c r="I210" i="2"/>
  <c r="I427" i="2"/>
  <c r="I226" i="2"/>
  <c r="I446" i="2"/>
  <c r="I689" i="2"/>
  <c r="I295" i="2"/>
  <c r="I634" i="2"/>
  <c r="I41" i="2"/>
  <c r="I79" i="2"/>
  <c r="I111" i="2"/>
  <c r="I567" i="2"/>
  <c r="I155" i="2"/>
  <c r="I248" i="2"/>
  <c r="I497" i="2"/>
  <c r="I373" i="2"/>
  <c r="I498" i="2"/>
  <c r="I58" i="2"/>
  <c r="I522" i="2"/>
  <c r="I523" i="2"/>
  <c r="I249" i="2"/>
  <c r="I80" i="2"/>
  <c r="I250" i="2"/>
  <c r="I690" i="2"/>
  <c r="I499" i="2"/>
  <c r="I296" i="2"/>
  <c r="I333" i="2"/>
  <c r="I98" i="2"/>
  <c r="I59" i="2"/>
  <c r="I635" i="2"/>
  <c r="I277" i="2"/>
  <c r="I374" i="2"/>
  <c r="I314" i="2"/>
  <c r="I227" i="2"/>
  <c r="I251" i="2"/>
  <c r="I156" i="2"/>
  <c r="I480" i="2"/>
  <c r="I428" i="2"/>
  <c r="I429" i="2"/>
  <c r="I568" i="2"/>
  <c r="I42" i="2"/>
  <c r="I671" i="2"/>
  <c r="I112" i="2"/>
  <c r="I136" i="2"/>
  <c r="I315" i="2"/>
  <c r="I211" i="2"/>
  <c r="I99" i="2"/>
  <c r="I447" i="2"/>
  <c r="I100" i="2"/>
  <c r="I297" i="2"/>
  <c r="I636" i="2"/>
  <c r="I316" i="2"/>
  <c r="I448" i="2"/>
  <c r="I228" i="2"/>
  <c r="I466" i="2"/>
  <c r="I190" i="2"/>
  <c r="I113" i="2"/>
  <c r="I402" i="2"/>
  <c r="I317" i="2"/>
  <c r="I334" i="2"/>
  <c r="I403" i="2"/>
  <c r="I375" i="2"/>
  <c r="I481" i="2"/>
  <c r="I354" i="2"/>
  <c r="I8" i="2"/>
  <c r="I355" i="2"/>
  <c r="I229" i="2"/>
  <c r="I404" i="2"/>
  <c r="I60" i="2"/>
  <c r="I114" i="2"/>
  <c r="I9" i="2"/>
  <c r="I230" i="2"/>
  <c r="I252" i="2"/>
  <c r="I81" i="2"/>
  <c r="I356" i="2"/>
  <c r="I10" i="2"/>
  <c r="I655" i="2"/>
  <c r="I137" i="2"/>
  <c r="I138" i="2"/>
  <c r="I500" i="2"/>
  <c r="I467" i="2"/>
  <c r="I482" i="2"/>
  <c r="I524" i="2"/>
  <c r="I501" i="2"/>
  <c r="I468" i="2"/>
  <c r="I115" i="2"/>
  <c r="I611" i="2"/>
  <c r="I43" i="2"/>
  <c r="I612" i="2"/>
  <c r="I550" i="2"/>
  <c r="I298" i="2"/>
  <c r="I376" i="2"/>
  <c r="I583" i="2"/>
  <c r="I278" i="2"/>
  <c r="I44" i="2"/>
  <c r="I61" i="2"/>
  <c r="I656" i="2"/>
  <c r="I537" i="2"/>
  <c r="I45" i="2"/>
  <c r="I26" i="2"/>
  <c r="I253" i="2"/>
  <c r="I430" i="2"/>
  <c r="I672" i="2"/>
  <c r="I82" i="2"/>
  <c r="I175" i="2"/>
  <c r="I139" i="2"/>
  <c r="I212" i="2"/>
  <c r="I279" i="2"/>
  <c r="I254" i="2"/>
  <c r="I318" i="2"/>
  <c r="I335" i="2"/>
  <c r="I357" i="2"/>
  <c r="I280" i="2"/>
  <c r="I502" i="2"/>
  <c r="I213" i="2"/>
  <c r="I336" i="2"/>
  <c r="I83" i="2"/>
  <c r="I637" i="2"/>
  <c r="I231" i="2"/>
  <c r="I214" i="2"/>
  <c r="I584" i="2"/>
  <c r="I191" i="2"/>
  <c r="I613" i="2"/>
  <c r="I299" i="2"/>
  <c r="I614" i="2"/>
  <c r="I615" i="2"/>
  <c r="I538" i="2"/>
  <c r="I101" i="2"/>
  <c r="I140" i="2"/>
  <c r="I232" i="2"/>
  <c r="I62" i="2"/>
  <c r="I116" i="2"/>
  <c r="I503" i="2"/>
  <c r="I233" i="2"/>
  <c r="I84" i="2"/>
  <c r="I431" i="2"/>
  <c r="I504" i="2"/>
  <c r="I234" i="2"/>
  <c r="I505" i="2"/>
  <c r="I102" i="2"/>
  <c r="I215" i="2"/>
  <c r="I569" i="2"/>
  <c r="I337" i="2"/>
  <c r="I338" i="2"/>
  <c r="I506" i="2"/>
  <c r="I157" i="2"/>
  <c r="I585" i="2"/>
  <c r="I117" i="2"/>
  <c r="I319" i="2"/>
  <c r="I539" i="2"/>
  <c r="I85" i="2"/>
  <c r="I638" i="2"/>
  <c r="I507" i="2"/>
  <c r="I255" i="2"/>
  <c r="I449" i="2"/>
  <c r="I63" i="2"/>
  <c r="I570" i="2"/>
  <c r="I86" i="2"/>
  <c r="I27" i="2"/>
  <c r="I320" i="2"/>
  <c r="I508" i="2"/>
  <c r="I586" i="2"/>
  <c r="I87" i="2"/>
  <c r="I657" i="2"/>
  <c r="I432" i="2"/>
  <c r="I176" i="2"/>
  <c r="I141" i="2"/>
  <c r="I433" i="2"/>
  <c r="I434" i="2"/>
  <c r="I142" i="2"/>
  <c r="I118" i="2"/>
  <c r="I158" i="2"/>
  <c r="I377" i="2"/>
  <c r="I435" i="2"/>
  <c r="I143" i="2"/>
  <c r="I339" i="2"/>
  <c r="I551" i="2"/>
  <c r="I509" i="2"/>
  <c r="I340" i="2"/>
  <c r="I119" i="2"/>
  <c r="I300" i="2"/>
  <c r="I281" i="2"/>
  <c r="I177" i="2"/>
  <c r="I46" i="2"/>
  <c r="I691" i="2"/>
  <c r="I301" i="2"/>
  <c r="I178" i="2"/>
  <c r="I256" i="2"/>
  <c r="I450" i="2"/>
  <c r="I321" i="2"/>
  <c r="I469" i="2"/>
  <c r="I11" i="2"/>
  <c r="I12" i="2"/>
  <c r="I257" i="2"/>
  <c r="I673" i="2"/>
  <c r="I64" i="2"/>
  <c r="I88" i="2"/>
  <c r="I216" i="2"/>
  <c r="I89" i="2"/>
  <c r="I322" i="2"/>
  <c r="I282" i="2"/>
  <c r="I552" i="2"/>
  <c r="I302" i="2"/>
  <c r="I658" i="2"/>
  <c r="I179" i="2"/>
  <c r="I144" i="2"/>
  <c r="I587" i="2"/>
  <c r="I692" i="2"/>
  <c r="I588" i="2"/>
  <c r="I65" i="2"/>
  <c r="I674" i="2"/>
  <c r="I323" i="2"/>
  <c r="I589" i="2"/>
  <c r="I378" i="2"/>
  <c r="I145" i="2"/>
  <c r="I379" i="2"/>
  <c r="I192" i="2"/>
  <c r="I358" i="2"/>
  <c r="I675" i="2"/>
  <c r="I120" i="2"/>
  <c r="I676" i="2"/>
  <c r="I677" i="2"/>
  <c r="I380" i="2"/>
  <c r="I659" i="2"/>
  <c r="I693" i="2"/>
  <c r="I451" i="2"/>
  <c r="I90" i="2"/>
  <c r="I678" i="2"/>
  <c r="I341" i="2"/>
  <c r="I660" i="2"/>
  <c r="I146" i="2"/>
  <c r="I540" i="2"/>
  <c r="I553" i="2"/>
  <c r="I258" i="2"/>
  <c r="I121" i="2"/>
  <c r="I28" i="2"/>
  <c r="I590" i="2"/>
  <c r="I122" i="2"/>
  <c r="I694" i="2"/>
  <c r="I591" i="2"/>
  <c r="I679" i="2"/>
  <c r="I159" i="2"/>
  <c r="I381" i="2"/>
  <c r="I324" i="2"/>
  <c r="I342" i="2"/>
  <c r="I217" i="2"/>
  <c r="I452" i="2"/>
  <c r="I695" i="2"/>
  <c r="I325" i="2"/>
  <c r="I571" i="2"/>
  <c r="I510" i="2"/>
  <c r="I343" i="2"/>
  <c r="I103" i="2"/>
  <c r="I382" i="2"/>
  <c r="I104" i="2"/>
  <c r="I29" i="2"/>
  <c r="I592" i="2"/>
  <c r="I123" i="2"/>
  <c r="I259" i="2"/>
  <c r="I436" i="2"/>
  <c r="I344" i="2"/>
  <c r="I639" i="2"/>
  <c r="I593" i="2"/>
  <c r="I554" i="2"/>
  <c r="I13" i="2"/>
  <c r="I283" i="2"/>
  <c r="I483" i="2"/>
  <c r="I124" i="2"/>
  <c r="I66" i="2"/>
  <c r="I303" i="2"/>
  <c r="I541" i="2"/>
  <c r="I511" i="2"/>
  <c r="I304" i="2"/>
  <c r="I512" i="2"/>
  <c r="I616" i="2"/>
  <c r="I661" i="2"/>
  <c r="I105" i="2"/>
  <c r="I260" i="2"/>
  <c r="I125" i="2"/>
  <c r="I437" i="2"/>
  <c r="I696" i="2"/>
  <c r="I261" i="2"/>
  <c r="I47" i="2"/>
  <c r="I91" i="2"/>
  <c r="I48" i="2"/>
  <c r="I92" i="2"/>
  <c r="I383" i="2"/>
  <c r="I542" i="2"/>
  <c r="I326" i="2"/>
  <c r="I93" i="2"/>
  <c r="I30" i="2"/>
  <c r="I617" i="2"/>
  <c r="I160" i="2"/>
  <c r="I470" i="2"/>
  <c r="I359" i="2"/>
  <c r="I484" i="2"/>
  <c r="I345" i="2"/>
  <c r="I594" i="2"/>
  <c r="I384" i="2"/>
  <c r="I31" i="2"/>
  <c r="I595" i="2"/>
  <c r="I471" i="2"/>
  <c r="I161" i="2"/>
  <c r="I218" i="2"/>
  <c r="I405" i="2"/>
  <c r="I485" i="2"/>
  <c r="I662" i="2"/>
  <c r="I596" i="2"/>
  <c r="I438" i="2"/>
  <c r="I525" i="2"/>
  <c r="I406" i="2"/>
  <c r="I526" i="2"/>
  <c r="I453" i="2"/>
  <c r="I126" i="2"/>
  <c r="I640" i="2"/>
  <c r="I360" i="2"/>
  <c r="I472" i="2"/>
  <c r="I597" i="2"/>
  <c r="I555" i="2"/>
  <c r="I407" i="2"/>
  <c r="I262" i="2"/>
  <c r="I572" i="2"/>
  <c r="I106" i="2"/>
  <c r="I162" i="2"/>
  <c r="I408" i="2"/>
  <c r="I573" i="2"/>
  <c r="I127" i="2"/>
  <c r="I385" i="2"/>
  <c r="I543" i="2"/>
  <c r="I386" i="2"/>
  <c r="I163" i="2"/>
  <c r="I556" i="2"/>
  <c r="I128" i="2"/>
  <c r="I454" i="2"/>
  <c r="I697" i="2"/>
  <c r="I409" i="2"/>
  <c r="I455" i="2"/>
  <c r="I618" i="2"/>
  <c r="I129" i="2"/>
  <c r="I327" i="2"/>
  <c r="I574" i="2"/>
  <c r="I94" i="2"/>
  <c r="I107" i="2"/>
  <c r="I193" i="2"/>
  <c r="I14" i="2"/>
  <c r="I641" i="2"/>
  <c r="I180" i="2"/>
  <c r="I235" i="2"/>
  <c r="I557" i="2"/>
  <c r="I236" i="2"/>
  <c r="I284" i="2"/>
  <c r="I263" i="2"/>
  <c r="I108" i="2"/>
  <c r="I410" i="2"/>
  <c r="I575" i="2"/>
  <c r="I328" i="2"/>
  <c r="I663" i="2"/>
  <c r="I194" i="2"/>
  <c r="I387" i="2"/>
  <c r="I664" i="2"/>
  <c r="I181" i="2"/>
  <c r="I388" i="2"/>
  <c r="I361" i="2"/>
  <c r="I15" i="2"/>
  <c r="I619" i="2"/>
  <c r="I32" i="2"/>
  <c r="I264" i="2"/>
  <c r="I109" i="2"/>
  <c r="I346" i="2"/>
  <c r="I620" i="2"/>
  <c r="I130" i="2"/>
  <c r="I411" i="2"/>
  <c r="I544" i="2"/>
  <c r="I558" i="2"/>
  <c r="I16" i="2"/>
  <c r="I698" i="2"/>
  <c r="I699" i="2"/>
  <c r="I545" i="2"/>
  <c r="I67" i="2"/>
  <c r="I285" i="2"/>
  <c r="I412" i="2"/>
  <c r="I389" i="2"/>
  <c r="I219" i="2"/>
  <c r="I362" i="2"/>
  <c r="I413" i="2"/>
  <c r="I147" i="2"/>
  <c r="I363" i="2"/>
  <c r="I621" i="2"/>
  <c r="I33" i="2"/>
  <c r="I237" i="2"/>
  <c r="I182" i="2"/>
  <c r="I347" i="2"/>
  <c r="I238" i="2"/>
  <c r="I700" i="2"/>
  <c r="I576" i="2"/>
  <c r="I148" i="2"/>
  <c r="I239" i="2"/>
  <c r="I486" i="2"/>
  <c r="I131" i="2"/>
  <c r="I49" i="2"/>
  <c r="I414" i="2"/>
  <c r="I390" i="2"/>
  <c r="I513" i="2"/>
  <c r="I642" i="2"/>
  <c r="I456" i="2"/>
  <c r="I34" i="2"/>
  <c r="I680" i="2"/>
  <c r="I559" i="2"/>
  <c r="I286" i="2"/>
  <c r="I50" i="2"/>
  <c r="I701" i="2"/>
  <c r="I665" i="2"/>
  <c r="I149" i="2"/>
  <c r="I514" i="2"/>
  <c r="I457" i="2"/>
  <c r="I391" i="2"/>
  <c r="I240" i="2"/>
  <c r="H35" i="2"/>
  <c r="H183" i="2"/>
  <c r="H265" i="2"/>
  <c r="H51" i="2"/>
  <c r="H164" i="2"/>
  <c r="H473" i="2"/>
  <c r="H364" i="2"/>
  <c r="H622" i="2"/>
  <c r="H195" i="2"/>
  <c r="H515" i="2"/>
  <c r="H516" i="2"/>
  <c r="H643" i="2"/>
  <c r="H681" i="2"/>
  <c r="H682" i="2"/>
  <c r="H196" i="2"/>
  <c r="H644" i="2"/>
  <c r="H458" i="2"/>
  <c r="H348" i="2"/>
  <c r="H439" i="2"/>
  <c r="H487" i="2"/>
  <c r="H365" i="2"/>
  <c r="H366" i="2"/>
  <c r="H305" i="2"/>
  <c r="H598" i="2"/>
  <c r="H306" i="2"/>
  <c r="H2" i="2"/>
  <c r="H220" i="2"/>
  <c r="H623" i="2"/>
  <c r="H527" i="2"/>
  <c r="H528" i="2"/>
  <c r="H266" i="2"/>
  <c r="H459" i="2"/>
  <c r="H683" i="2"/>
  <c r="H460" i="2"/>
  <c r="H68" i="2"/>
  <c r="H577" i="2"/>
  <c r="H529" i="2"/>
  <c r="H367" i="2"/>
  <c r="H165" i="2"/>
  <c r="H474" i="2"/>
  <c r="H166" i="2"/>
  <c r="H52" i="2"/>
  <c r="H546" i="2"/>
  <c r="H599" i="2"/>
  <c r="H600" i="2"/>
  <c r="H530" i="2"/>
  <c r="H601" i="2"/>
  <c r="H578" i="2"/>
  <c r="H645" i="2"/>
  <c r="H36" i="2"/>
  <c r="H184" i="2"/>
  <c r="H517" i="2"/>
  <c r="H267" i="2"/>
  <c r="H392" i="2"/>
  <c r="H415" i="2"/>
  <c r="H3" i="2"/>
  <c r="H167" i="2"/>
  <c r="H624" i="2"/>
  <c r="H488" i="2"/>
  <c r="H17" i="2"/>
  <c r="H602" i="2"/>
  <c r="H197" i="2"/>
  <c r="H307" i="2"/>
  <c r="H198" i="2"/>
  <c r="H560" i="2"/>
  <c r="H268" i="2"/>
  <c r="H646" i="2"/>
  <c r="H4" i="2"/>
  <c r="H241" i="2"/>
  <c r="H393" i="2"/>
  <c r="H647" i="2"/>
  <c r="H199" i="2"/>
  <c r="H242" i="2"/>
  <c r="H518" i="2"/>
  <c r="H461" i="2"/>
  <c r="H18" i="2"/>
  <c r="H185" i="2"/>
  <c r="H489" i="2"/>
  <c r="H69" i="2"/>
  <c r="H287" i="2"/>
  <c r="H490" i="2"/>
  <c r="H603" i="2"/>
  <c r="H648" i="2"/>
  <c r="H221" i="2"/>
  <c r="H308" i="2"/>
  <c r="H475" i="2"/>
  <c r="H168" i="2"/>
  <c r="H53" i="2"/>
  <c r="H416" i="2"/>
  <c r="H5" i="2"/>
  <c r="H368" i="2"/>
  <c r="H417" i="2"/>
  <c r="H37" i="2"/>
  <c r="H200" i="2"/>
  <c r="H666" i="2"/>
  <c r="H561" i="2"/>
  <c r="H95" i="2"/>
  <c r="H604" i="2"/>
  <c r="H186" i="2"/>
  <c r="H269" i="2"/>
  <c r="H169" i="2"/>
  <c r="H605" i="2"/>
  <c r="H19" i="2"/>
  <c r="H349" i="2"/>
  <c r="H562" i="2"/>
  <c r="H70" i="2"/>
  <c r="H563" i="2"/>
  <c r="H462" i="2"/>
  <c r="H667" i="2"/>
  <c r="H329" i="2"/>
  <c r="H6" i="2"/>
  <c r="H625" i="2"/>
  <c r="H222" i="2"/>
  <c r="H440" i="2"/>
  <c r="H369" i="2"/>
  <c r="H71" i="2"/>
  <c r="H463" i="2"/>
  <c r="H684" i="2"/>
  <c r="H547" i="2"/>
  <c r="H20" i="2"/>
  <c r="H418" i="2"/>
  <c r="H330" i="2"/>
  <c r="H685" i="2"/>
  <c r="H548" i="2"/>
  <c r="H72" i="2"/>
  <c r="H579" i="2"/>
  <c r="H626" i="2"/>
  <c r="H132" i="2"/>
  <c r="H370" i="2"/>
  <c r="H441" i="2"/>
  <c r="H288" i="2"/>
  <c r="H442" i="2"/>
  <c r="H394" i="2"/>
  <c r="H419" i="2"/>
  <c r="H420" i="2"/>
  <c r="H519" i="2"/>
  <c r="H243" i="2"/>
  <c r="H627" i="2"/>
  <c r="H421" i="2"/>
  <c r="H606" i="2"/>
  <c r="H371" i="2"/>
  <c r="H309" i="2"/>
  <c r="H270" i="2"/>
  <c r="H580" i="2"/>
  <c r="H491" i="2"/>
  <c r="H150" i="2"/>
  <c r="H395" i="2"/>
  <c r="H289" i="2"/>
  <c r="H628" i="2"/>
  <c r="H443" i="2"/>
  <c r="H170" i="2"/>
  <c r="H350" i="2"/>
  <c r="H171" i="2"/>
  <c r="H396" i="2"/>
  <c r="H649" i="2"/>
  <c r="H21" i="2"/>
  <c r="H476" i="2"/>
  <c r="H201" i="2"/>
  <c r="H38" i="2"/>
  <c r="H422" i="2"/>
  <c r="H686" i="2"/>
  <c r="H244" i="2"/>
  <c r="H629" i="2"/>
  <c r="H464" i="2"/>
  <c r="H351" i="2"/>
  <c r="H531" i="2"/>
  <c r="H607" i="2"/>
  <c r="H310" i="2"/>
  <c r="H271" i="2"/>
  <c r="H96" i="2"/>
  <c r="H73" i="2"/>
  <c r="H492" i="2"/>
  <c r="H39" i="2"/>
  <c r="H650" i="2"/>
  <c r="H223" i="2"/>
  <c r="H22" i="2"/>
  <c r="H202" i="2"/>
  <c r="H465" i="2"/>
  <c r="H493" i="2"/>
  <c r="H397" i="2"/>
  <c r="H203" i="2"/>
  <c r="H54" i="2"/>
  <c r="H423" i="2"/>
  <c r="H272" i="2"/>
  <c r="H172" i="2"/>
  <c r="H651" i="2"/>
  <c r="H187" i="2"/>
  <c r="H110" i="2"/>
  <c r="H398" i="2"/>
  <c r="H273" i="2"/>
  <c r="H424" i="2"/>
  <c r="H399" i="2"/>
  <c r="H23" i="2"/>
  <c r="H564" i="2"/>
  <c r="H668" i="2"/>
  <c r="H425" i="2"/>
  <c r="H630" i="2"/>
  <c r="H311" i="2"/>
  <c r="H133" i="2"/>
  <c r="H204" i="2"/>
  <c r="H400" i="2"/>
  <c r="H401" i="2"/>
  <c r="H205" i="2"/>
  <c r="H188" i="2"/>
  <c r="H173" i="2"/>
  <c r="H74" i="2"/>
  <c r="H245" i="2"/>
  <c r="H631" i="2"/>
  <c r="H274" i="2"/>
  <c r="H520" i="2"/>
  <c r="H652" i="2"/>
  <c r="H494" i="2"/>
  <c r="H290" i="2"/>
  <c r="H477" i="2"/>
  <c r="H312" i="2"/>
  <c r="H291" i="2"/>
  <c r="H55" i="2"/>
  <c r="H478" i="2"/>
  <c r="H206" i="2"/>
  <c r="H207" i="2"/>
  <c r="H495" i="2"/>
  <c r="H479" i="2"/>
  <c r="H608" i="2"/>
  <c r="H275" i="2"/>
  <c r="H532" i="2"/>
  <c r="H189" i="2"/>
  <c r="H151" i="2"/>
  <c r="H246" i="2"/>
  <c r="H75" i="2"/>
  <c r="H208" i="2"/>
  <c r="H134" i="2"/>
  <c r="H313" i="2"/>
  <c r="H7" i="2"/>
  <c r="H352" i="2"/>
  <c r="H24" i="2"/>
  <c r="H444" i="2"/>
  <c r="H372" i="2"/>
  <c r="H76" i="2"/>
  <c r="H687" i="2"/>
  <c r="H653" i="2"/>
  <c r="H609" i="2"/>
  <c r="H40" i="2"/>
  <c r="H247" i="2"/>
  <c r="H353" i="2"/>
  <c r="H549" i="2"/>
  <c r="H77" i="2"/>
  <c r="H581" i="2"/>
  <c r="H152" i="2"/>
  <c r="H521" i="2"/>
  <c r="H153" i="2"/>
  <c r="H533" i="2"/>
  <c r="H97" i="2"/>
  <c r="H56" i="2"/>
  <c r="H534" i="2"/>
  <c r="H209" i="2"/>
  <c r="H535" i="2"/>
  <c r="H135" i="2"/>
  <c r="H224" i="2"/>
  <c r="H565" i="2"/>
  <c r="H292" i="2"/>
  <c r="H566" i="2"/>
  <c r="H669" i="2"/>
  <c r="H293" i="2"/>
  <c r="H582" i="2"/>
  <c r="H632" i="2"/>
  <c r="H610" i="2"/>
  <c r="H331" i="2"/>
  <c r="H670" i="2"/>
  <c r="H78" i="2"/>
  <c r="H57" i="2"/>
  <c r="H332" i="2"/>
  <c r="H536" i="2"/>
  <c r="H633" i="2"/>
  <c r="H276" i="2"/>
  <c r="H225" i="2"/>
  <c r="H445" i="2"/>
  <c r="H25" i="2"/>
  <c r="H154" i="2"/>
  <c r="H688" i="2"/>
  <c r="H426" i="2"/>
  <c r="H294" i="2"/>
  <c r="H174" i="2"/>
  <c r="H654" i="2"/>
  <c r="H496" i="2"/>
  <c r="H210" i="2"/>
  <c r="H427" i="2"/>
  <c r="H226" i="2"/>
  <c r="H446" i="2"/>
  <c r="H689" i="2"/>
  <c r="H295" i="2"/>
  <c r="H634" i="2"/>
  <c r="H41" i="2"/>
  <c r="H79" i="2"/>
  <c r="H111" i="2"/>
  <c r="H567" i="2"/>
  <c r="H155" i="2"/>
  <c r="H248" i="2"/>
  <c r="H497" i="2"/>
  <c r="H373" i="2"/>
  <c r="H498" i="2"/>
  <c r="H58" i="2"/>
  <c r="H522" i="2"/>
  <c r="H523" i="2"/>
  <c r="H249" i="2"/>
  <c r="H80" i="2"/>
  <c r="H250" i="2"/>
  <c r="H690" i="2"/>
  <c r="H499" i="2"/>
  <c r="H296" i="2"/>
  <c r="H333" i="2"/>
  <c r="H98" i="2"/>
  <c r="H59" i="2"/>
  <c r="H635" i="2"/>
  <c r="H277" i="2"/>
  <c r="H374" i="2"/>
  <c r="H314" i="2"/>
  <c r="H227" i="2"/>
  <c r="H251" i="2"/>
  <c r="H156" i="2"/>
  <c r="H480" i="2"/>
  <c r="H428" i="2"/>
  <c r="H429" i="2"/>
  <c r="H568" i="2"/>
  <c r="H42" i="2"/>
  <c r="H671" i="2"/>
  <c r="H112" i="2"/>
  <c r="H136" i="2"/>
  <c r="H315" i="2"/>
  <c r="H211" i="2"/>
  <c r="H99" i="2"/>
  <c r="H447" i="2"/>
  <c r="H100" i="2"/>
  <c r="H297" i="2"/>
  <c r="H636" i="2"/>
  <c r="H316" i="2"/>
  <c r="H448" i="2"/>
  <c r="H228" i="2"/>
  <c r="H466" i="2"/>
  <c r="H190" i="2"/>
  <c r="H113" i="2"/>
  <c r="H402" i="2"/>
  <c r="H317" i="2"/>
  <c r="H334" i="2"/>
  <c r="H403" i="2"/>
  <c r="H375" i="2"/>
  <c r="H481" i="2"/>
  <c r="H354" i="2"/>
  <c r="H8" i="2"/>
  <c r="H355" i="2"/>
  <c r="H229" i="2"/>
  <c r="H404" i="2"/>
  <c r="H60" i="2"/>
  <c r="H114" i="2"/>
  <c r="H9" i="2"/>
  <c r="H230" i="2"/>
  <c r="H252" i="2"/>
  <c r="H81" i="2"/>
  <c r="H356" i="2"/>
  <c r="H10" i="2"/>
  <c r="H655" i="2"/>
  <c r="H137" i="2"/>
  <c r="H138" i="2"/>
  <c r="H500" i="2"/>
  <c r="H467" i="2"/>
  <c r="H482" i="2"/>
  <c r="H524" i="2"/>
  <c r="H501" i="2"/>
  <c r="H468" i="2"/>
  <c r="H115" i="2"/>
  <c r="H611" i="2"/>
  <c r="H43" i="2"/>
  <c r="H612" i="2"/>
  <c r="H550" i="2"/>
  <c r="H298" i="2"/>
  <c r="H376" i="2"/>
  <c r="H583" i="2"/>
  <c r="H278" i="2"/>
  <c r="H44" i="2"/>
  <c r="H61" i="2"/>
  <c r="H656" i="2"/>
  <c r="H537" i="2"/>
  <c r="H45" i="2"/>
  <c r="H26" i="2"/>
  <c r="H253" i="2"/>
  <c r="H430" i="2"/>
  <c r="H672" i="2"/>
  <c r="H82" i="2"/>
  <c r="H175" i="2"/>
  <c r="H139" i="2"/>
  <c r="H212" i="2"/>
  <c r="H279" i="2"/>
  <c r="H254" i="2"/>
  <c r="H318" i="2"/>
  <c r="H335" i="2"/>
  <c r="H357" i="2"/>
  <c r="H280" i="2"/>
  <c r="H502" i="2"/>
  <c r="H213" i="2"/>
  <c r="H336" i="2"/>
  <c r="H83" i="2"/>
  <c r="H637" i="2"/>
  <c r="H231" i="2"/>
  <c r="H214" i="2"/>
  <c r="H584" i="2"/>
  <c r="H191" i="2"/>
  <c r="H613" i="2"/>
  <c r="H299" i="2"/>
  <c r="H614" i="2"/>
  <c r="H615" i="2"/>
  <c r="H538" i="2"/>
  <c r="H101" i="2"/>
  <c r="H140" i="2"/>
  <c r="H232" i="2"/>
  <c r="H62" i="2"/>
  <c r="H116" i="2"/>
  <c r="H503" i="2"/>
  <c r="H233" i="2"/>
  <c r="H84" i="2"/>
  <c r="H431" i="2"/>
  <c r="H504" i="2"/>
  <c r="H234" i="2"/>
  <c r="H505" i="2"/>
  <c r="H102" i="2"/>
  <c r="H215" i="2"/>
  <c r="H569" i="2"/>
  <c r="H337" i="2"/>
  <c r="H338" i="2"/>
  <c r="H506" i="2"/>
  <c r="H157" i="2"/>
  <c r="H585" i="2"/>
  <c r="H117" i="2"/>
  <c r="H319" i="2"/>
  <c r="H539" i="2"/>
  <c r="H85" i="2"/>
  <c r="H638" i="2"/>
  <c r="H507" i="2"/>
  <c r="H255" i="2"/>
  <c r="H449" i="2"/>
  <c r="H63" i="2"/>
  <c r="H570" i="2"/>
  <c r="H86" i="2"/>
  <c r="H27" i="2"/>
  <c r="H320" i="2"/>
  <c r="H508" i="2"/>
  <c r="H586" i="2"/>
  <c r="H87" i="2"/>
  <c r="H657" i="2"/>
  <c r="H432" i="2"/>
  <c r="H176" i="2"/>
  <c r="H141" i="2"/>
  <c r="H433" i="2"/>
  <c r="H434" i="2"/>
  <c r="H142" i="2"/>
  <c r="H118" i="2"/>
  <c r="H158" i="2"/>
  <c r="H377" i="2"/>
  <c r="H435" i="2"/>
  <c r="H143" i="2"/>
  <c r="H339" i="2"/>
  <c r="H551" i="2"/>
  <c r="H509" i="2"/>
  <c r="H340" i="2"/>
  <c r="H119" i="2"/>
  <c r="H300" i="2"/>
  <c r="H281" i="2"/>
  <c r="H177" i="2"/>
  <c r="H46" i="2"/>
  <c r="H691" i="2"/>
  <c r="H301" i="2"/>
  <c r="H178" i="2"/>
  <c r="H256" i="2"/>
  <c r="H450" i="2"/>
  <c r="H321" i="2"/>
  <c r="H469" i="2"/>
  <c r="H11" i="2"/>
  <c r="H12" i="2"/>
  <c r="H257" i="2"/>
  <c r="H673" i="2"/>
  <c r="H64" i="2"/>
  <c r="H88" i="2"/>
  <c r="H216" i="2"/>
  <c r="H89" i="2"/>
  <c r="H322" i="2"/>
  <c r="H282" i="2"/>
  <c r="H552" i="2"/>
  <c r="H302" i="2"/>
  <c r="H658" i="2"/>
  <c r="H179" i="2"/>
  <c r="H144" i="2"/>
  <c r="H587" i="2"/>
  <c r="H692" i="2"/>
  <c r="H588" i="2"/>
  <c r="H65" i="2"/>
  <c r="H674" i="2"/>
  <c r="H323" i="2"/>
  <c r="H589" i="2"/>
  <c r="H378" i="2"/>
  <c r="H145" i="2"/>
  <c r="H379" i="2"/>
  <c r="H192" i="2"/>
  <c r="H358" i="2"/>
  <c r="H675" i="2"/>
  <c r="H120" i="2"/>
  <c r="H676" i="2"/>
  <c r="H677" i="2"/>
  <c r="H380" i="2"/>
  <c r="H659" i="2"/>
  <c r="H693" i="2"/>
  <c r="H451" i="2"/>
  <c r="H90" i="2"/>
  <c r="H678" i="2"/>
  <c r="H341" i="2"/>
  <c r="H660" i="2"/>
  <c r="H146" i="2"/>
  <c r="H540" i="2"/>
  <c r="H553" i="2"/>
  <c r="H258" i="2"/>
  <c r="H121" i="2"/>
  <c r="H28" i="2"/>
  <c r="H590" i="2"/>
  <c r="H122" i="2"/>
  <c r="H694" i="2"/>
  <c r="H591" i="2"/>
  <c r="H679" i="2"/>
  <c r="H159" i="2"/>
  <c r="H381" i="2"/>
  <c r="H324" i="2"/>
  <c r="H342" i="2"/>
  <c r="H217" i="2"/>
  <c r="H452" i="2"/>
  <c r="H695" i="2"/>
  <c r="H325" i="2"/>
  <c r="H571" i="2"/>
  <c r="H510" i="2"/>
  <c r="H343" i="2"/>
  <c r="H103" i="2"/>
  <c r="H382" i="2"/>
  <c r="H104" i="2"/>
  <c r="H29" i="2"/>
  <c r="H592" i="2"/>
  <c r="H123" i="2"/>
  <c r="H259" i="2"/>
  <c r="H436" i="2"/>
  <c r="H344" i="2"/>
  <c r="H639" i="2"/>
  <c r="H593" i="2"/>
  <c r="H554" i="2"/>
  <c r="H13" i="2"/>
  <c r="H283" i="2"/>
  <c r="H483" i="2"/>
  <c r="H124" i="2"/>
  <c r="H66" i="2"/>
  <c r="H303" i="2"/>
  <c r="H541" i="2"/>
  <c r="H511" i="2"/>
  <c r="H304" i="2"/>
  <c r="H512" i="2"/>
  <c r="H616" i="2"/>
  <c r="H661" i="2"/>
  <c r="H105" i="2"/>
  <c r="H260" i="2"/>
  <c r="H125" i="2"/>
  <c r="H437" i="2"/>
  <c r="H696" i="2"/>
  <c r="H261" i="2"/>
  <c r="H47" i="2"/>
  <c r="H91" i="2"/>
  <c r="H48" i="2"/>
  <c r="H92" i="2"/>
  <c r="H383" i="2"/>
  <c r="H542" i="2"/>
  <c r="H326" i="2"/>
  <c r="H93" i="2"/>
  <c r="H30" i="2"/>
  <c r="H617" i="2"/>
  <c r="H160" i="2"/>
  <c r="H470" i="2"/>
  <c r="H359" i="2"/>
  <c r="H484" i="2"/>
  <c r="H345" i="2"/>
  <c r="H594" i="2"/>
  <c r="H384" i="2"/>
  <c r="H31" i="2"/>
  <c r="H595" i="2"/>
  <c r="H471" i="2"/>
  <c r="H161" i="2"/>
  <c r="H218" i="2"/>
  <c r="H405" i="2"/>
  <c r="H485" i="2"/>
  <c r="H662" i="2"/>
  <c r="H596" i="2"/>
  <c r="H438" i="2"/>
  <c r="H525" i="2"/>
  <c r="H406" i="2"/>
  <c r="H526" i="2"/>
  <c r="H453" i="2"/>
  <c r="H126" i="2"/>
  <c r="H640" i="2"/>
  <c r="H360" i="2"/>
  <c r="H472" i="2"/>
  <c r="H597" i="2"/>
  <c r="H555" i="2"/>
  <c r="H407" i="2"/>
  <c r="H262" i="2"/>
  <c r="H572" i="2"/>
  <c r="H106" i="2"/>
  <c r="H162" i="2"/>
  <c r="H408" i="2"/>
  <c r="H573" i="2"/>
  <c r="H127" i="2"/>
  <c r="H385" i="2"/>
  <c r="H543" i="2"/>
  <c r="H386" i="2"/>
  <c r="H163" i="2"/>
  <c r="H556" i="2"/>
  <c r="H128" i="2"/>
  <c r="H454" i="2"/>
  <c r="H697" i="2"/>
  <c r="H409" i="2"/>
  <c r="H455" i="2"/>
  <c r="H618" i="2"/>
  <c r="H129" i="2"/>
  <c r="H327" i="2"/>
  <c r="H574" i="2"/>
  <c r="H94" i="2"/>
  <c r="H107" i="2"/>
  <c r="H193" i="2"/>
  <c r="H14" i="2"/>
  <c r="H641" i="2"/>
  <c r="H180" i="2"/>
  <c r="H235" i="2"/>
  <c r="H557" i="2"/>
  <c r="H236" i="2"/>
  <c r="H284" i="2"/>
  <c r="H263" i="2"/>
  <c r="H108" i="2"/>
  <c r="H410" i="2"/>
  <c r="H575" i="2"/>
  <c r="H328" i="2"/>
  <c r="H663" i="2"/>
  <c r="H194" i="2"/>
  <c r="H387" i="2"/>
  <c r="H664" i="2"/>
  <c r="H181" i="2"/>
  <c r="H388" i="2"/>
  <c r="H361" i="2"/>
  <c r="H15" i="2"/>
  <c r="H619" i="2"/>
  <c r="H32" i="2"/>
  <c r="H264" i="2"/>
  <c r="H109" i="2"/>
  <c r="H346" i="2"/>
  <c r="H620" i="2"/>
  <c r="H130" i="2"/>
  <c r="H411" i="2"/>
  <c r="H544" i="2"/>
  <c r="H558" i="2"/>
  <c r="H16" i="2"/>
  <c r="H698" i="2"/>
  <c r="H699" i="2"/>
  <c r="H545" i="2"/>
  <c r="H67" i="2"/>
  <c r="H285" i="2"/>
  <c r="H412" i="2"/>
  <c r="H389" i="2"/>
  <c r="H219" i="2"/>
  <c r="H362" i="2"/>
  <c r="H413" i="2"/>
  <c r="H147" i="2"/>
  <c r="H363" i="2"/>
  <c r="H621" i="2"/>
  <c r="H33" i="2"/>
  <c r="H237" i="2"/>
  <c r="H182" i="2"/>
  <c r="H347" i="2"/>
  <c r="H238" i="2"/>
  <c r="H700" i="2"/>
  <c r="H576" i="2"/>
  <c r="H148" i="2"/>
  <c r="H239" i="2"/>
  <c r="H486" i="2"/>
  <c r="H131" i="2"/>
  <c r="H49" i="2"/>
  <c r="H414" i="2"/>
  <c r="H390" i="2"/>
  <c r="H513" i="2"/>
  <c r="H642" i="2"/>
  <c r="H456" i="2"/>
  <c r="H34" i="2"/>
  <c r="H680" i="2"/>
  <c r="H559" i="2"/>
  <c r="H286" i="2"/>
  <c r="H50" i="2"/>
  <c r="H701" i="2"/>
  <c r="H665" i="2"/>
  <c r="H149" i="2"/>
  <c r="H514" i="2"/>
  <c r="H457" i="2"/>
  <c r="H391" i="2"/>
  <c r="H24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29E322-3B3B-4EB9-B514-1368487A24C6}" keepAlive="1" name="Query - Data" description="Connection to the 'Data' query in the workbook." type="5" refreshedVersion="7"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<sst xmlns="http://schemas.openxmlformats.org/spreadsheetml/2006/main" count="1569" uniqueCount="49">
  <si>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</si>
  <si>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</si>
  <si>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</si>
  <si>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</si>
  <si>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</si>
  <si>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</si>
  <si>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</si>
  <si>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</si>
  <si>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</si>
  <si>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</si>
  <si>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</si>
  <si>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</si>
  <si>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</si>
  <si>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</si>
  <si>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</si>
  <si>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</si>
  <si>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</si>
  <si>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</si>
  <si>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</si>
  <si>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</si>
  <si>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</si>
  <si>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</si>
  <si>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</si>
  <si>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</si>
  <si>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Total revenue</t>
  </si>
  <si>
    <t>Total profit</t>
  </si>
  <si>
    <t>Total cost</t>
  </si>
  <si>
    <t>Total unit sold</t>
  </si>
  <si>
    <t>Month</t>
  </si>
  <si>
    <t>Year</t>
  </si>
  <si>
    <t>Grand Total</t>
  </si>
  <si>
    <t>Row Labels</t>
  </si>
  <si>
    <t>Sum of Revenue</t>
  </si>
  <si>
    <t>Revenue by country</t>
  </si>
  <si>
    <t>Sum of Units Sold</t>
  </si>
  <si>
    <t>unit sold by country</t>
  </si>
  <si>
    <t>Sum of Profit</t>
  </si>
  <si>
    <t>Profit by product</t>
  </si>
  <si>
    <t>Profit by country</t>
  </si>
  <si>
    <t>Sum of Cost</t>
  </si>
  <si>
    <t>Revenue and cost by Product</t>
  </si>
  <si>
    <t>Revenue by cost by profit and product</t>
  </si>
  <si>
    <t>Revenue by year</t>
  </si>
  <si>
    <t>Count of Product</t>
  </si>
  <si>
    <t>Revenue by country and product</t>
  </si>
  <si>
    <t>total revenue=</t>
  </si>
  <si>
    <t>total profit=</t>
  </si>
  <si>
    <t>total unit sold</t>
  </si>
  <si>
    <t>unit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</si>
</sst>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46A]#,##0"/>
    <numFmt numFmtId="165" formatCode="_-[$₦-46A]* #,##0_-;\-[$₦-46A]* #,##0_-;_-[$₦-46A]* &quot;-&quot;_-;_-@_-"/>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41" fontId="0" fillId="0" borderId="0" xfId="0" applyNumberFormat="1"/>
    <xf numFmtId="41" fontId="1" fillId="2" borderId="1" xfId="0" applyNumberFormat="1" applyFont="1" applyFill="1" applyBorder="1"/>
    <xf numFmtId="165" fontId="1" fillId="2" borderId="1" xfId="0" applyNumberFormat="1" applyFont="1" applyFill="1" applyBorder="1"/>
    <xf numFmtId="0" fontId="0" fillId="3" borderId="0" xfId="0" applyFill="1"/>
    <xf numFmtId="0" fontId="2" fillId="3" borderId="0" xfId="0" applyFont="1" applyFill="1"/>
  </cellXfs>
  <cellStyles count="1">
    <cellStyle name="Normal" xfId="0" builtinId="0"/>
  </cellStyles>
  <dxfs count="41">
    <dxf>
      <numFmt numFmtId="33" formatCode="_(* #,##0_);_(* \(#,##0\);_(* &quot;-&quot;_);_(@_)"/>
    </dxf>
    <dxf>
      <numFmt numFmtId="33" formatCode="_(* #,##0_);_(* \(#,##0\);_(*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165" formatCode="_-[$₦-46A]* #,##0_-;\-[$₦-46A]* #,##0_-;_-[$₦-46A]* &quot;-&quot;_-;_-@_-"/>
    </dxf>
    <dxf>
      <numFmt numFmtId="33" formatCode="_(* #,##0_);_(* \(#,##0\);_(* &quot;-&quot;_);_(@_)"/>
    </dxf>
    <dxf>
      <numFmt numFmtId="33" formatCode="_(* #,##0_);_(* \(#,##0\);_(* &quot;-&quot;_);_(@_)"/>
    </dxf>
    <dxf>
      <numFmt numFmtId="33" formatCode="_(* #,##0_);_(* \(#,##0\);_(*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165" formatCode="_-[$₦-46A]* #,##0_-;\-[$₦-46A]* #,##0_-;_-[$₦-46A]* &quot;-&quot;_-;_-@_-"/>
    </dxf>
    <dxf>
      <numFmt numFmtId="0" formatCode="General"/>
    </dxf>
    <dxf>
      <numFmt numFmtId="0" formatCode="General"/>
    </dxf>
    <dxf>
      <numFmt numFmtId="0" formatCode="General"/>
    </dxf>
    <dxf>
      <numFmt numFmtId="165" formatCode="_-[$₦-46A]* #,##0_-;\-[$₦-46A]* #,##0_-;_-[$₦-46A]* &quot;-&quot;_-;_-@_-"/>
    </dxf>
    <dxf>
      <numFmt numFmtId="165" formatCode="_-[$₦-46A]* #,##0_-;\-[$₦-46A]* #,##0_-;_-[$₦-46A]* &quot;-&quot;_-;_-@_-"/>
    </dxf>
    <dxf>
      <numFmt numFmtId="164" formatCode="[$₦-46A]#,##0"/>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1.xlsx]Sheet2!PivotTable13</c:name>
    <c:fmtId val="2"/>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a:t>Revenue</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5262433242203"/>
          <c:y val="0.19990740740740739"/>
          <c:w val="0.75993136148318885"/>
          <c:h val="0.5034073344998542"/>
        </c:manualLayout>
      </c:layout>
      <c:barChart>
        <c:barDir val="col"/>
        <c:grouping val="clustered"/>
        <c:varyColors val="0"/>
        <c:ser>
          <c:idx val="0"/>
          <c:order val="0"/>
          <c:tx>
            <c:strRef>
              <c:f>Sheet2!$E$4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Sheet2!$D$5:$D$15</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Sheet2!$E$5:$E$15</c:f>
              <c:numCache>
                <c:formatCode>General</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EFAB-4832-8663-3360583C8A33}"/>
            </c:ext>
          </c:extLst>
        </c:ser>
        <c:dLbls>
          <c:showLegendKey val="0"/>
          <c:showVal val="0"/>
          <c:showCatName val="0"/>
          <c:showSerName val="0"/>
          <c:showPercent val="0"/>
          <c:showBubbleSize val="0"/>
        </c:dLbls>
        <c:gapWidth val="100"/>
        <c:overlap val="-24"/>
        <c:axId val="621071327"/>
        <c:axId val="621082975"/>
      </c:barChart>
      <c:catAx>
        <c:axId val="6210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082975"/>
        <c:crosses val="autoZero"/>
        <c:auto val="1"/>
        <c:lblAlgn val="ctr"/>
        <c:lblOffset val="100"/>
        <c:noMultiLvlLbl val="0"/>
      </c:catAx>
      <c:valAx>
        <c:axId val="62108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07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Sheet2!$D$48:$D$55</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Sheet2!$E$48:$E$55</c:f>
              <c:numCache>
                <c:formatCode>_-[$₦-46A]* #,##0_-;\-[$₦-46A]* #,##0_-;_-[$₦-46A]* "-"_-;_-@_-</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50A5-46CE-B4D1-FD6CA3466ABD}"/>
            </c:ext>
          </c:extLst>
        </c:ser>
        <c:dLbls>
          <c:dLblPos val="outEnd"/>
          <c:showLegendKey val="0"/>
          <c:showVal val="1"/>
          <c:showCatName val="0"/>
          <c:showSerName val="0"/>
          <c:showPercent val="0"/>
          <c:showBubbleSize val="0"/>
        </c:dLbls>
        <c:gapWidth val="182"/>
        <c:axId val="2115049855"/>
        <c:axId val="2115041119"/>
      </c:barChart>
      <c:catAx>
        <c:axId val="2115049855"/>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115041119"/>
        <c:crosses val="autoZero"/>
        <c:auto val="1"/>
        <c:lblAlgn val="ctr"/>
        <c:lblOffset val="100"/>
        <c:noMultiLvlLbl val="0"/>
      </c:catAx>
      <c:valAx>
        <c:axId val="211504111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r>
                  <a:rPr lang="en-US"/>
                  <a:t>Profit</a:t>
                </a:r>
                <a:r>
                  <a:rPr lang="en-US" baseline="0"/>
                  <a:t> by product</a:t>
                </a:r>
              </a:p>
              <a:p>
                <a:pPr>
                  <a:defRPr/>
                </a:pPr>
                <a:endParaRPr lang="en-US"/>
              </a:p>
            </c:rich>
          </c:tx>
          <c:layout>
            <c:manualLayout>
              <c:xMode val="edge"/>
              <c:yMode val="edge"/>
              <c:x val="0.64194353291014072"/>
              <c:y val="8.701370662000583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title>
        <c:numFmt formatCode="_-[$₦-46A]* #,##0_-;\-[$₦-46A]* #,##0_-;_-[$₦-46A]* &quot;-&quot;_-;_-@_-" sourceLinked="1"/>
        <c:majorTickMark val="out"/>
        <c:minorTickMark val="none"/>
        <c:tickLblPos val="nextTo"/>
        <c:crossAx val="211504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1.xlsx]Sheet2!PivotTable10</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7875249861066"/>
          <c:y val="0.23880591669192469"/>
          <c:w val="0.86789157862775046"/>
          <c:h val="0.65655554476088751"/>
        </c:manualLayout>
      </c:layout>
      <c:lineChart>
        <c:grouping val="standard"/>
        <c:varyColors val="0"/>
        <c:ser>
          <c:idx val="0"/>
          <c:order val="0"/>
          <c:tx>
            <c:strRef>
              <c:f>Sheet2!$B$109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Sheet2!$A$110:$A$113</c:f>
              <c:strCache>
                <c:ptCount val="3"/>
                <c:pt idx="0">
                  <c:v>2025</c:v>
                </c:pt>
                <c:pt idx="1">
                  <c:v>2026</c:v>
                </c:pt>
                <c:pt idx="2">
                  <c:v>2024</c:v>
                </c:pt>
              </c:strCache>
            </c:strRef>
          </c:cat>
          <c:val>
            <c:numRef>
              <c:f>Sheet2!$B$110:$B$113</c:f>
              <c:numCache>
                <c:formatCode>_-[$₦-46A]* #,##0_-;\-[$₦-46A]* #,##0_-;_-[$₦-46A]* "-"_-;_-@_-</c:formatCode>
                <c:ptCount val="3"/>
                <c:pt idx="0">
                  <c:v>3847142200</c:v>
                </c:pt>
                <c:pt idx="1">
                  <c:v>3470466600</c:v>
                </c:pt>
                <c:pt idx="2">
                  <c:v>3129927800</c:v>
                </c:pt>
              </c:numCache>
            </c:numRef>
          </c:val>
          <c:smooth val="0"/>
          <c:extLst>
            <c:ext xmlns:c16="http://schemas.microsoft.com/office/drawing/2014/chart" uri="{C3380CC4-5D6E-409C-BE32-E72D297353CC}">
              <c16:uniqueId val="{00000000-375F-4B4C-9E83-824C8D0D40CE}"/>
            </c:ext>
          </c:extLst>
        </c:ser>
        <c:dLbls>
          <c:dLblPos val="t"/>
          <c:showLegendKey val="0"/>
          <c:showVal val="1"/>
          <c:showCatName val="0"/>
          <c:showSerName val="0"/>
          <c:showPercent val="0"/>
          <c:showBubbleSize val="0"/>
        </c:dLbls>
        <c:marker val="1"/>
        <c:smooth val="0"/>
        <c:axId val="1709353423"/>
        <c:axId val="1709355503"/>
      </c:lineChart>
      <c:catAx>
        <c:axId val="1709353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Revenue</a:t>
                </a:r>
                <a:r>
                  <a:rPr lang="en-US" baseline="0"/>
                  <a:t> by year</a:t>
                </a:r>
              </a:p>
              <a:p>
                <a:pPr>
                  <a:defRPr/>
                </a:pPr>
                <a:endParaRPr lang="en-US"/>
              </a:p>
            </c:rich>
          </c:tx>
          <c:layout>
            <c:manualLayout>
              <c:xMode val="edge"/>
              <c:yMode val="edge"/>
              <c:x val="0.44822008825047432"/>
              <c:y val="7.772564002806207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9355503"/>
        <c:crosses val="autoZero"/>
        <c:auto val="1"/>
        <c:lblAlgn val="ctr"/>
        <c:lblOffset val="100"/>
        <c:noMultiLvlLbl val="0"/>
      </c:catAx>
      <c:valAx>
        <c:axId val="1709355503"/>
        <c:scaling>
          <c:orientation val="minMax"/>
        </c:scaling>
        <c:delete val="1"/>
        <c:axPos val="l"/>
        <c:numFmt formatCode="_-[$₦-46A]* #,##0_-;\-[$₦-46A]* #,##0_-;_-[$₦-46A]* &quot;-&quot;_-;_-@_-" sourceLinked="1"/>
        <c:majorTickMark val="out"/>
        <c:minorTickMark val="none"/>
        <c:tickLblPos val="nextTo"/>
        <c:crossAx val="17093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2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69247594050742"/>
          <c:y val="9.7222222222222224E-2"/>
          <c:w val="0.66351115485564305"/>
          <c:h val="0.58621245261009047"/>
        </c:manualLayout>
      </c:layout>
      <c:barChart>
        <c:barDir val="col"/>
        <c:grouping val="clustered"/>
        <c:varyColors val="0"/>
        <c:ser>
          <c:idx val="0"/>
          <c:order val="0"/>
          <c:tx>
            <c:strRef>
              <c:f>Sheet2!$B$98</c:f>
              <c:strCache>
                <c:ptCount val="1"/>
                <c:pt idx="0">
                  <c:v>Total</c:v>
                </c:pt>
              </c:strCache>
            </c:strRef>
          </c:tx>
          <c:spPr>
            <a:solidFill>
              <a:schemeClr val="accent1"/>
            </a:solidFill>
            <a:ln>
              <a:noFill/>
            </a:ln>
            <a:effectLst/>
          </c:spPr>
          <c:invertIfNegative val="0"/>
          <c:cat>
            <c:strRef>
              <c:f>Sheet2!$A$99:$A$106</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Sheet2!$B$99:$B$106</c:f>
              <c:numCache>
                <c:formatCode>_(* #,##0_);_(* \(#,##0\);_(*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50FD-406A-A560-F8FACD73D2D9}"/>
            </c:ext>
          </c:extLst>
        </c:ser>
        <c:dLbls>
          <c:showLegendKey val="0"/>
          <c:showVal val="0"/>
          <c:showCatName val="0"/>
          <c:showSerName val="0"/>
          <c:showPercent val="0"/>
          <c:showBubbleSize val="0"/>
        </c:dLbls>
        <c:gapWidth val="219"/>
        <c:overlap val="-27"/>
        <c:axId val="1956468143"/>
        <c:axId val="1956482287"/>
      </c:barChart>
      <c:catAx>
        <c:axId val="195646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Product</a:t>
                </a:r>
                <a:r>
                  <a:rPr lang="en-US" baseline="0"/>
                  <a:t> by unit sold</a:t>
                </a:r>
              </a:p>
              <a:p>
                <a:pPr>
                  <a:defRPr/>
                </a:pPr>
                <a:endParaRPr lang="en-US"/>
              </a:p>
            </c:rich>
          </c:tx>
          <c:layout>
            <c:manualLayout>
              <c:xMode val="edge"/>
              <c:yMode val="edge"/>
              <c:x val="0.46660083114610673"/>
              <c:y val="3.145815106445029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6482287"/>
        <c:crosses val="autoZero"/>
        <c:auto val="1"/>
        <c:lblAlgn val="ctr"/>
        <c:lblOffset val="100"/>
        <c:noMultiLvlLbl val="0"/>
      </c:catAx>
      <c:valAx>
        <c:axId val="19564822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646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1.xlsx]Sheet2!PivotTable6</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Sheet2!$B$57</c:f>
              <c:strCache>
                <c:ptCount val="1"/>
                <c:pt idx="0">
                  <c:v>Total</c:v>
                </c:pt>
              </c:strCache>
            </c:strRef>
          </c:tx>
          <c:spPr>
            <a:solidFill>
              <a:schemeClr val="accent1"/>
            </a:solidFill>
            <a:ln>
              <a:noFill/>
            </a:ln>
            <a:effectLst/>
          </c:spPr>
          <c:invertIfNegative val="0"/>
          <c:cat>
            <c:strRef>
              <c:f>Sheet2!$A$58:$A$68</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Sheet2!$B$58:$B$68</c:f>
              <c:numCache>
                <c:formatCode>_-[$₦-46A]* #,##0_-;\-[$₦-46A]* #,##0_-;_-[$₦-46A]* "-"_-;_-@_-</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C2AF-4CA8-9A9A-902F65BFC73B}"/>
            </c:ext>
          </c:extLst>
        </c:ser>
        <c:dLbls>
          <c:showLegendKey val="0"/>
          <c:showVal val="0"/>
          <c:showCatName val="0"/>
          <c:showSerName val="0"/>
          <c:showPercent val="0"/>
          <c:showBubbleSize val="0"/>
        </c:dLbls>
        <c:gapWidth val="219"/>
        <c:overlap val="-27"/>
        <c:axId val="2115057759"/>
        <c:axId val="2115060255"/>
      </c:barChart>
      <c:catAx>
        <c:axId val="211505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5060255"/>
        <c:crosses val="autoZero"/>
        <c:auto val="1"/>
        <c:lblAlgn val="ctr"/>
        <c:lblOffset val="100"/>
        <c:noMultiLvlLbl val="0"/>
      </c:catAx>
      <c:valAx>
        <c:axId val="2115060255"/>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505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1.xlsx]Sheet2!PivotTable5</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a:t>
            </a:r>
            <a:r>
              <a:rPr lang="en-US" baseline="0"/>
              <a:t> by product</a:t>
            </a:r>
            <a:endParaRPr lang="en-US"/>
          </a:p>
        </c:rich>
      </c:tx>
      <c:overlay val="0"/>
      <c:spPr>
        <a:solidFill>
          <a:schemeClr val="tx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Sheet2!$B$46</c:f>
              <c:strCache>
                <c:ptCount val="1"/>
                <c:pt idx="0">
                  <c:v>Total</c:v>
                </c:pt>
              </c:strCache>
            </c:strRef>
          </c:tx>
          <c:spPr>
            <a:solidFill>
              <a:schemeClr val="accent1"/>
            </a:solidFill>
            <a:ln>
              <a:noFill/>
            </a:ln>
            <a:effectLst/>
          </c:spPr>
          <c:invertIfNegative val="0"/>
          <c:cat>
            <c:strRef>
              <c:f>Sheet2!$A$47:$A$54</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Sheet2!$B$47:$B$54</c:f>
              <c:numCache>
                <c:formatCode>_-[$₦-46A]* #,##0_-;\-[$₦-46A]* #,##0_-;_-[$₦-46A]* "-"_-;_-@_-</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00E1-4A61-9984-09E9B13E9108}"/>
            </c:ext>
          </c:extLst>
        </c:ser>
        <c:dLbls>
          <c:showLegendKey val="0"/>
          <c:showVal val="0"/>
          <c:showCatName val="0"/>
          <c:showSerName val="0"/>
          <c:showPercent val="0"/>
          <c:showBubbleSize val="0"/>
        </c:dLbls>
        <c:gapWidth val="219"/>
        <c:overlap val="-27"/>
        <c:axId val="2127628271"/>
        <c:axId val="2127612047"/>
      </c:barChart>
      <c:catAx>
        <c:axId val="212762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7612047"/>
        <c:crosses val="autoZero"/>
        <c:auto val="1"/>
        <c:lblAlgn val="ctr"/>
        <c:lblOffset val="100"/>
        <c:noMultiLvlLbl val="0"/>
      </c:catAx>
      <c:valAx>
        <c:axId val="2127612047"/>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762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1.xlsx]Sheet2!PivotTable13</c:name>
    <c:fmtId val="4"/>
  </c:pivotSource>
  <c:chart>
    <c:title>
      <c:tx>
        <c:rich>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r>
              <a:rPr lang="en-US"/>
              <a:t>Revenue</a:t>
            </a:r>
            <a:r>
              <a:rPr lang="en-US" baseline="0"/>
              <a:t>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Sheet2!$D$5:$D$15</c:f>
              <c:strCache>
                <c:ptCount val="10"/>
                <c:pt idx="0">
                  <c:v>Nigeria</c:v>
                </c:pt>
                <c:pt idx="1">
                  <c:v>Tanzania</c:v>
                </c:pt>
                <c:pt idx="2">
                  <c:v>Côte d’Ivoire</c:v>
                </c:pt>
                <c:pt idx="3">
                  <c:v>Kenya</c:v>
                </c:pt>
                <c:pt idx="4">
                  <c:v>Rwanda</c:v>
                </c:pt>
                <c:pt idx="5">
                  <c:v>Ghana</c:v>
                </c:pt>
                <c:pt idx="6">
                  <c:v>Uganda</c:v>
                </c:pt>
                <c:pt idx="7">
                  <c:v>Egypt</c:v>
                </c:pt>
                <c:pt idx="8">
                  <c:v>South Africa</c:v>
                </c:pt>
                <c:pt idx="9">
                  <c:v>Senegal</c:v>
                </c:pt>
              </c:strCache>
            </c:strRef>
          </c:cat>
          <c:val>
            <c:numRef>
              <c:f>Sheet2!$E$5:$E$15</c:f>
              <c:numCache>
                <c:formatCode>General</c:formatCode>
                <c:ptCount val="10"/>
                <c:pt idx="0">
                  <c:v>1622388900</c:v>
                </c:pt>
                <c:pt idx="1">
                  <c:v>1254735500</c:v>
                </c:pt>
                <c:pt idx="2">
                  <c:v>1162177600</c:v>
                </c:pt>
                <c:pt idx="3">
                  <c:v>1144351400</c:v>
                </c:pt>
                <c:pt idx="4">
                  <c:v>1090844300</c:v>
                </c:pt>
                <c:pt idx="5">
                  <c:v>970455400</c:v>
                </c:pt>
                <c:pt idx="6">
                  <c:v>885517200</c:v>
                </c:pt>
                <c:pt idx="7">
                  <c:v>871416700</c:v>
                </c:pt>
                <c:pt idx="8">
                  <c:v>779041300</c:v>
                </c:pt>
                <c:pt idx="9">
                  <c:v>666608300</c:v>
                </c:pt>
              </c:numCache>
            </c:numRef>
          </c:val>
          <c:extLst>
            <c:ext xmlns:c16="http://schemas.microsoft.com/office/drawing/2014/chart" uri="{C3380CC4-5D6E-409C-BE32-E72D297353CC}">
              <c16:uniqueId val="{00000000-C45C-4245-A456-7F69818F5B5B}"/>
            </c:ext>
          </c:extLst>
        </c:ser>
        <c:dLbls>
          <c:showLegendKey val="0"/>
          <c:showVal val="0"/>
          <c:showCatName val="0"/>
          <c:showSerName val="0"/>
          <c:showPercent val="0"/>
          <c:showBubbleSize val="0"/>
        </c:dLbls>
        <c:gapWidth val="100"/>
        <c:overlap val="-24"/>
        <c:axId val="621071327"/>
        <c:axId val="621082975"/>
      </c:barChart>
      <c:catAx>
        <c:axId val="6210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082975"/>
        <c:crosses val="autoZero"/>
        <c:auto val="1"/>
        <c:lblAlgn val="ctr"/>
        <c:lblOffset val="100"/>
        <c:noMultiLvlLbl val="0"/>
      </c:catAx>
      <c:valAx>
        <c:axId val="621082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107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Sheet2!$D$48:$D$55</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Sheet2!$E$48:$E$55</c:f>
              <c:numCache>
                <c:formatCode>_-[$₦-46A]* #,##0_-;\-[$₦-46A]* #,##0_-;_-[$₦-46A]* "-"_-;_-@_-</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76D3-4BF7-A46D-16835F60DBD6}"/>
            </c:ext>
          </c:extLst>
        </c:ser>
        <c:dLbls>
          <c:dLblPos val="outEnd"/>
          <c:showLegendKey val="0"/>
          <c:showVal val="1"/>
          <c:showCatName val="0"/>
          <c:showSerName val="0"/>
          <c:showPercent val="0"/>
          <c:showBubbleSize val="0"/>
        </c:dLbls>
        <c:gapWidth val="182"/>
        <c:axId val="2115049855"/>
        <c:axId val="2115041119"/>
      </c:barChart>
      <c:catAx>
        <c:axId val="2115049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2115041119"/>
        <c:crosses val="autoZero"/>
        <c:auto val="1"/>
        <c:lblAlgn val="ctr"/>
        <c:lblOffset val="100"/>
        <c:noMultiLvlLbl val="0"/>
      </c:catAx>
      <c:valAx>
        <c:axId val="2115041119"/>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r>
                  <a:rPr lang="en-US"/>
                  <a:t>Profit</a:t>
                </a:r>
                <a:r>
                  <a:rPr lang="en-US" baseline="0"/>
                  <a:t> by product</a:t>
                </a:r>
              </a:p>
              <a:p>
                <a:pPr>
                  <a:defRPr/>
                </a:pPr>
                <a:endParaRPr lang="en-US"/>
              </a:p>
            </c:rich>
          </c:tx>
          <c:layout>
            <c:manualLayout>
              <c:xMode val="edge"/>
              <c:yMode val="edge"/>
              <c:x val="0.64194353291014072"/>
              <c:y val="8.701370662000583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95000"/>
                    </a:schemeClr>
                  </a:solidFill>
                  <a:latin typeface="+mn-lt"/>
                  <a:ea typeface="+mn-ea"/>
                  <a:cs typeface="+mn-cs"/>
                </a:defRPr>
              </a:pPr>
              <a:endParaRPr lang="en-US"/>
            </a:p>
          </c:txPr>
        </c:title>
        <c:numFmt formatCode="_-[$₦-46A]* #,##0_-;\-[$₦-46A]* #,##0_-;_-[$₦-46A]* &quot;-&quot;_-;_-@_-" sourceLinked="1"/>
        <c:majorTickMark val="out"/>
        <c:minorTickMark val="none"/>
        <c:tickLblPos val="nextTo"/>
        <c:crossAx val="211504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1.xlsx]Sheet2!PivotTable10</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42261518131442E-2"/>
          <c:y val="0.19958047754152189"/>
          <c:w val="0.86789157862775046"/>
          <c:h val="0.65655554476088751"/>
        </c:manualLayout>
      </c:layout>
      <c:lineChart>
        <c:grouping val="standard"/>
        <c:varyColors val="0"/>
        <c:ser>
          <c:idx val="0"/>
          <c:order val="0"/>
          <c:tx>
            <c:strRef>
              <c:f>Sheet2!$B$109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Sheet2!$A$110:$A$113</c:f>
              <c:strCache>
                <c:ptCount val="3"/>
                <c:pt idx="0">
                  <c:v>2025</c:v>
                </c:pt>
                <c:pt idx="1">
                  <c:v>2026</c:v>
                </c:pt>
                <c:pt idx="2">
                  <c:v>2024</c:v>
                </c:pt>
              </c:strCache>
            </c:strRef>
          </c:cat>
          <c:val>
            <c:numRef>
              <c:f>Sheet2!$B$110:$B$113</c:f>
              <c:numCache>
                <c:formatCode>_-[$₦-46A]* #,##0_-;\-[$₦-46A]* #,##0_-;_-[$₦-46A]* "-"_-;_-@_-</c:formatCode>
                <c:ptCount val="3"/>
                <c:pt idx="0">
                  <c:v>3847142200</c:v>
                </c:pt>
                <c:pt idx="1">
                  <c:v>3470466600</c:v>
                </c:pt>
                <c:pt idx="2">
                  <c:v>3129927800</c:v>
                </c:pt>
              </c:numCache>
            </c:numRef>
          </c:val>
          <c:smooth val="0"/>
          <c:extLst>
            <c:ext xmlns:c16="http://schemas.microsoft.com/office/drawing/2014/chart" uri="{C3380CC4-5D6E-409C-BE32-E72D297353CC}">
              <c16:uniqueId val="{00000000-9D7C-4CAC-8485-1FA176052892}"/>
            </c:ext>
          </c:extLst>
        </c:ser>
        <c:dLbls>
          <c:dLblPos val="t"/>
          <c:showLegendKey val="0"/>
          <c:showVal val="1"/>
          <c:showCatName val="0"/>
          <c:showSerName val="0"/>
          <c:showPercent val="0"/>
          <c:showBubbleSize val="0"/>
        </c:dLbls>
        <c:marker val="1"/>
        <c:smooth val="0"/>
        <c:axId val="1709353423"/>
        <c:axId val="1709355503"/>
      </c:lineChart>
      <c:catAx>
        <c:axId val="17093534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Revenue</a:t>
                </a:r>
                <a:r>
                  <a:rPr lang="en-US" baseline="0"/>
                  <a:t> by year</a:t>
                </a:r>
              </a:p>
              <a:p>
                <a:pPr>
                  <a:defRPr/>
                </a:pPr>
                <a:endParaRPr lang="en-US"/>
              </a:p>
            </c:rich>
          </c:tx>
          <c:layout>
            <c:manualLayout>
              <c:xMode val="edge"/>
              <c:yMode val="edge"/>
              <c:x val="0.44822008825047432"/>
              <c:y val="7.772564002806207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9355503"/>
        <c:crosses val="autoZero"/>
        <c:auto val="1"/>
        <c:lblAlgn val="ctr"/>
        <c:lblOffset val="100"/>
        <c:noMultiLvlLbl val="0"/>
      </c:catAx>
      <c:valAx>
        <c:axId val="1709355503"/>
        <c:scaling>
          <c:orientation val="minMax"/>
        </c:scaling>
        <c:delete val="1"/>
        <c:axPos val="l"/>
        <c:numFmt formatCode="_-[$₦-46A]* #,##0_-;\-[$₦-46A]* #,##0_-;_-[$₦-46A]* &quot;-&quot;_-;_-@_-" sourceLinked="1"/>
        <c:majorTickMark val="out"/>
        <c:minorTickMark val="none"/>
        <c:tickLblPos val="nextTo"/>
        <c:crossAx val="17093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69247594050742"/>
          <c:y val="9.7222222222222224E-2"/>
          <c:w val="0.66351115485564305"/>
          <c:h val="0.58621245261009047"/>
        </c:manualLayout>
      </c:layout>
      <c:barChart>
        <c:barDir val="col"/>
        <c:grouping val="clustered"/>
        <c:varyColors val="0"/>
        <c:ser>
          <c:idx val="0"/>
          <c:order val="0"/>
          <c:tx>
            <c:strRef>
              <c:f>Sheet2!$B$98</c:f>
              <c:strCache>
                <c:ptCount val="1"/>
                <c:pt idx="0">
                  <c:v>Total</c:v>
                </c:pt>
              </c:strCache>
            </c:strRef>
          </c:tx>
          <c:spPr>
            <a:solidFill>
              <a:schemeClr val="accent1"/>
            </a:solidFill>
            <a:ln>
              <a:noFill/>
            </a:ln>
            <a:effectLst/>
          </c:spPr>
          <c:invertIfNegative val="0"/>
          <c:cat>
            <c:strRef>
              <c:f>Sheet2!$A$99:$A$106</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Sheet2!$B$99:$B$106</c:f>
              <c:numCache>
                <c:formatCode>_(* #,##0_);_(* \(#,##0\);_(* "-"_);_(@_)</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E098-477A-87ED-5E7BDE443F8B}"/>
            </c:ext>
          </c:extLst>
        </c:ser>
        <c:dLbls>
          <c:showLegendKey val="0"/>
          <c:showVal val="0"/>
          <c:showCatName val="0"/>
          <c:showSerName val="0"/>
          <c:showPercent val="0"/>
          <c:showBubbleSize val="0"/>
        </c:dLbls>
        <c:gapWidth val="219"/>
        <c:overlap val="-27"/>
        <c:axId val="1956468143"/>
        <c:axId val="1956482287"/>
      </c:barChart>
      <c:catAx>
        <c:axId val="1956468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Product</a:t>
                </a:r>
                <a:r>
                  <a:rPr lang="en-US" baseline="0"/>
                  <a:t> by unit sold</a:t>
                </a:r>
              </a:p>
              <a:p>
                <a:pPr>
                  <a:defRPr/>
                </a:pPr>
                <a:endParaRPr lang="en-US"/>
              </a:p>
            </c:rich>
          </c:tx>
          <c:layout>
            <c:manualLayout>
              <c:xMode val="edge"/>
              <c:yMode val="edge"/>
              <c:x val="0.46660083114610673"/>
              <c:y val="3.1458151064450296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6482287"/>
        <c:crosses val="autoZero"/>
        <c:auto val="1"/>
        <c:lblAlgn val="ctr"/>
        <c:lblOffset val="100"/>
        <c:noMultiLvlLbl val="0"/>
      </c:catAx>
      <c:valAx>
        <c:axId val="19564822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5646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a:t>
            </a:r>
            <a:r>
              <a:rPr lang="en-US" baseline="0"/>
              <a:t> by country</a:t>
            </a:r>
          </a:p>
          <a:p>
            <a:pPr>
              <a:defRPr/>
            </a:pPr>
            <a:endParaRPr lang="en-US"/>
          </a:p>
        </c:rich>
      </c:tx>
      <c:layout>
        <c:manualLayout>
          <c:xMode val="edge"/>
          <c:yMode val="edge"/>
          <c:x val="0.3653058090009587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Sheet2!$B$57</c:f>
              <c:strCache>
                <c:ptCount val="1"/>
                <c:pt idx="0">
                  <c:v>Total</c:v>
                </c:pt>
              </c:strCache>
            </c:strRef>
          </c:tx>
          <c:spPr>
            <a:solidFill>
              <a:schemeClr val="accent1"/>
            </a:solidFill>
            <a:ln>
              <a:noFill/>
            </a:ln>
            <a:effectLst/>
          </c:spPr>
          <c:invertIfNegative val="0"/>
          <c:cat>
            <c:strRef>
              <c:f>Sheet2!$A$58:$A$68</c:f>
              <c:strCache>
                <c:ptCount val="10"/>
                <c:pt idx="0">
                  <c:v>Nigeria</c:v>
                </c:pt>
                <c:pt idx="1">
                  <c:v>Côte d’Ivoire</c:v>
                </c:pt>
                <c:pt idx="2">
                  <c:v>Tanzania</c:v>
                </c:pt>
                <c:pt idx="3">
                  <c:v>Kenya</c:v>
                </c:pt>
                <c:pt idx="4">
                  <c:v>Rwanda</c:v>
                </c:pt>
                <c:pt idx="5">
                  <c:v>Ghana</c:v>
                </c:pt>
                <c:pt idx="6">
                  <c:v>Egypt</c:v>
                </c:pt>
                <c:pt idx="7">
                  <c:v>Uganda</c:v>
                </c:pt>
                <c:pt idx="8">
                  <c:v>South Africa</c:v>
                </c:pt>
                <c:pt idx="9">
                  <c:v>Senegal</c:v>
                </c:pt>
              </c:strCache>
            </c:strRef>
          </c:cat>
          <c:val>
            <c:numRef>
              <c:f>Sheet2!$B$58:$B$68</c:f>
              <c:numCache>
                <c:formatCode>_-[$₦-46A]* #,##0_-;\-[$₦-46A]* #,##0_-;_-[$₦-46A]* "-"_-;_-@_-</c:formatCode>
                <c:ptCount val="10"/>
                <c:pt idx="0">
                  <c:v>302613800</c:v>
                </c:pt>
                <c:pt idx="1">
                  <c:v>237371300</c:v>
                </c:pt>
                <c:pt idx="2">
                  <c:v>237119250</c:v>
                </c:pt>
                <c:pt idx="3">
                  <c:v>229987650</c:v>
                </c:pt>
                <c:pt idx="4">
                  <c:v>225940050</c:v>
                </c:pt>
                <c:pt idx="5">
                  <c:v>194985300</c:v>
                </c:pt>
                <c:pt idx="6">
                  <c:v>181420300</c:v>
                </c:pt>
                <c:pt idx="7">
                  <c:v>177112700</c:v>
                </c:pt>
                <c:pt idx="8">
                  <c:v>164997350</c:v>
                </c:pt>
                <c:pt idx="9">
                  <c:v>147821550</c:v>
                </c:pt>
              </c:numCache>
            </c:numRef>
          </c:val>
          <c:extLst>
            <c:ext xmlns:c16="http://schemas.microsoft.com/office/drawing/2014/chart" uri="{C3380CC4-5D6E-409C-BE32-E72D297353CC}">
              <c16:uniqueId val="{00000000-CF51-423C-99BE-5319FB8FFC13}"/>
            </c:ext>
          </c:extLst>
        </c:ser>
        <c:dLbls>
          <c:showLegendKey val="0"/>
          <c:showVal val="0"/>
          <c:showCatName val="0"/>
          <c:showSerName val="0"/>
          <c:showPercent val="0"/>
          <c:showBubbleSize val="0"/>
        </c:dLbls>
        <c:gapWidth val="219"/>
        <c:overlap val="-27"/>
        <c:axId val="2115057759"/>
        <c:axId val="2115060255"/>
      </c:barChart>
      <c:catAx>
        <c:axId val="211505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5060255"/>
        <c:crosses val="autoZero"/>
        <c:auto val="1"/>
        <c:lblAlgn val="ctr"/>
        <c:lblOffset val="100"/>
        <c:noMultiLvlLbl val="0"/>
      </c:catAx>
      <c:valAx>
        <c:axId val="2115060255"/>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505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[complete assignment project 1.xlsx]Sheet2!PivotTable5</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Profit</a:t>
            </a:r>
            <a:r>
              <a:rPr lang="en-US" baseline="0"/>
              <a:t> by product</a:t>
            </a:r>
            <a:endParaRPr lang="en-US"/>
          </a:p>
        </c:rich>
      </c:tx>
      <c:overlay val="0"/>
      <c:spPr>
        <a:solidFill>
          <a:schemeClr val="tx2">
            <a:lumMod val="7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Sheet2!$B$46</c:f>
              <c:strCache>
                <c:ptCount val="1"/>
                <c:pt idx="0">
                  <c:v>Total</c:v>
                </c:pt>
              </c:strCache>
            </c:strRef>
          </c:tx>
          <c:spPr>
            <a:solidFill>
              <a:schemeClr val="accent1"/>
            </a:solidFill>
            <a:ln>
              <a:noFill/>
            </a:ln>
            <a:effectLst/>
          </c:spPr>
          <c:invertIfNegative val="0"/>
          <c:cat>
            <c:strRef>
              <c:f>Sheet2!$A$47:$A$54</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Sheet2!$B$47:$B$54</c:f>
              <c:numCache>
                <c:formatCode>_-[$₦-46A]* #,##0_-;\-[$₦-46A]* #,##0_-;_-[$₦-46A]* "-"_-;_-@_-</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AB56-49A7-9AF9-EDB3FD389CCB}"/>
            </c:ext>
          </c:extLst>
        </c:ser>
        <c:dLbls>
          <c:showLegendKey val="0"/>
          <c:showVal val="0"/>
          <c:showCatName val="0"/>
          <c:showSerName val="0"/>
          <c:showPercent val="0"/>
          <c:showBubbleSize val="0"/>
        </c:dLbls>
        <c:gapWidth val="219"/>
        <c:overlap val="-27"/>
        <c:axId val="2127628271"/>
        <c:axId val="2127612047"/>
      </c:barChart>
      <c:catAx>
        <c:axId val="212762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7612047"/>
        <c:crosses val="autoZero"/>
        <c:auto val="1"/>
        <c:lblAlgn val="ctr"/>
        <c:lblOffset val="100"/>
        <c:noMultiLvlLbl val="0"/>
      </c:catAx>
      <c:valAx>
        <c:axId val="2127612047"/>
        <c:scaling>
          <c:orientation val="minMax"/>
        </c:scaling>
        <c:delete val="0"/>
        <c:axPos val="l"/>
        <c:majorGridlines>
          <c:spPr>
            <a:ln w="9525" cap="flat" cmpd="sng" algn="ctr">
              <a:solidFill>
                <a:schemeClr val="tx1">
                  <a:lumMod val="15000"/>
                  <a:lumOff val="85000"/>
                </a:schemeClr>
              </a:solidFill>
              <a:round/>
            </a:ln>
            <a:effectLst/>
          </c:spPr>
        </c:majorGridlines>
        <c:numFmt formatCode="_-[$₦-46A]* #,##0_-;\-[$₦-46A]* #,##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762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0.svg"/><Relationship Id="rId18" Type="http://schemas.openxmlformats.org/officeDocument/2006/relationships/image" Target="../media/image15.png"/><Relationship Id="rId3" Type="http://schemas.openxmlformats.org/officeDocument/2006/relationships/hyperlink" Target="#Data!A1"/><Relationship Id="rId21" Type="http://schemas.openxmlformats.org/officeDocument/2006/relationships/chart" Target="../charts/chart8.xml"/><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image" Target="../media/image14.png"/><Relationship Id="rId25"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image" Target="../media/image13.svg"/><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hyperlink" Target="#Dashboard!A1"/><Relationship Id="rId11" Type="http://schemas.openxmlformats.org/officeDocument/2006/relationships/image" Target="../media/image8.svg"/><Relationship Id="rId24" Type="http://schemas.openxmlformats.org/officeDocument/2006/relationships/chart" Target="../charts/chart11.xml"/><Relationship Id="rId5" Type="http://schemas.openxmlformats.org/officeDocument/2006/relationships/image" Target="../media/image4.svg"/><Relationship Id="rId15" Type="http://schemas.openxmlformats.org/officeDocument/2006/relationships/image" Target="../media/image12.png"/><Relationship Id="rId23" Type="http://schemas.openxmlformats.org/officeDocument/2006/relationships/chart" Target="../charts/chart10.xml"/><Relationship Id="rId10" Type="http://schemas.openxmlformats.org/officeDocument/2006/relationships/image" Target="../media/image7.png"/><Relationship Id="rId19" Type="http://schemas.openxmlformats.org/officeDocument/2006/relationships/image" Target="../media/image16.svg"/><Relationship Id="rId4" Type="http://schemas.openxmlformats.org/officeDocument/2006/relationships/image" Target="../media/image3.png"/><Relationship Id="rId9" Type="http://schemas.openxmlformats.org/officeDocument/2006/relationships/hyperlink" Target="#Sheet2!A1"/><Relationship Id="rId14" Type="http://schemas.openxmlformats.org/officeDocument/2006/relationships/image" Target="../media/image11.png"/><Relationship Id="rId2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176212</xdr:colOff>
      <xdr:row>0</xdr:row>
      <xdr:rowOff>0</xdr:rowOff>
    </xdr:from>
    <xdr:to>
      <xdr:col>8</xdr:col>
      <xdr:colOff>457200</xdr:colOff>
      <xdr:row>14</xdr:row>
      <xdr:rowOff>76200</xdr:rowOff>
    </xdr:to>
    <xdr:graphicFrame macro="">
      <xdr:nvGraphicFramePr>
        <xdr:cNvPr id="3" name="Chart 2">
          <a:extLst>
            <a:ext uri="{FF2B5EF4-FFF2-40B4-BE49-F238E27FC236}">
              <a16:creationId xmlns:a16="http://schemas.microsoft.com/office/drawing/2014/main" id="{1539EFC9-6C50-4119-9088-55586ABEB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280987</xdr:colOff>
      <xdr:row>42</xdr:row>
      <xdr:rowOff>166687</xdr:rowOff>
    </xdr:from>
    <xdr:to>
      <xdr:col>5</xdr:col>
      <xdr:colOff>571500</xdr:colOff>
      <xdr:row>57</xdr:row>
      <xdr:rowOff>52387</xdr:rowOff>
    </xdr:to>
    <xdr:graphicFrame macro="">
      <xdr:nvGraphicFramePr>
        <xdr:cNvPr id="4" name="Chart 3">
          <a:extLst>
            <a:ext uri="{FF2B5EF4-FFF2-40B4-BE49-F238E27FC236}">
              <a16:creationId xmlns:a16="http://schemas.microsoft.com/office/drawing/2014/main" id="{B5C0D02B-CC67-4220-89D2-7F6238A0E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347662</xdr:colOff>
      <xdr:row>119</xdr:row>
      <xdr:rowOff>90487</xdr:rowOff>
    </xdr:from>
    <xdr:to>
      <xdr:col>7</xdr:col>
      <xdr:colOff>352425</xdr:colOff>
      <xdr:row>131</xdr:row>
      <xdr:rowOff>38100</xdr:rowOff>
    </xdr:to>
    <xdr:graphicFrame macro="">
      <xdr:nvGraphicFramePr>
        <xdr:cNvPr id="5" name="Chart 4">
          <a:extLst>
            <a:ext uri="{FF2B5EF4-FFF2-40B4-BE49-F238E27FC236}">
              <a16:creationId xmlns:a16="http://schemas.microsoft.com/office/drawing/2014/main" id="{0EF248A8-1623-4594-B931-101DF3FEE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280988</xdr:colOff>
      <xdr:row>96</xdr:row>
      <xdr:rowOff>166687</xdr:rowOff>
    </xdr:from>
    <xdr:to>
      <xdr:col>5</xdr:col>
      <xdr:colOff>1038226</xdr:colOff>
      <xdr:row>111</xdr:row>
      <xdr:rowOff>52387</xdr:rowOff>
    </xdr:to>
    <xdr:graphicFrame macro="">
      <xdr:nvGraphicFramePr>
        <xdr:cNvPr id="6" name="Chart 5">
          <a:extLst>
            <a:ext uri="{FF2B5EF4-FFF2-40B4-BE49-F238E27FC236}">
              <a16:creationId xmlns:a16="http://schemas.microsoft.com/office/drawing/2014/main" id="{4CDFFBC5-7F4D-4409-AB58-7089A94A7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280987</xdr:colOff>
      <xdr:row>54</xdr:row>
      <xdr:rowOff>166687</xdr:rowOff>
    </xdr:from>
    <xdr:to>
      <xdr:col>5</xdr:col>
      <xdr:colOff>1019175</xdr:colOff>
      <xdr:row>69</xdr:row>
      <xdr:rowOff>52387</xdr:rowOff>
    </xdr:to>
    <xdr:graphicFrame macro="">
      <xdr:nvGraphicFramePr>
        <xdr:cNvPr id="7" name="Chart 6">
          <a:extLst>
            <a:ext uri="{FF2B5EF4-FFF2-40B4-BE49-F238E27FC236}">
              <a16:creationId xmlns:a16="http://schemas.microsoft.com/office/drawing/2014/main" id="{2A4A7099-C8B2-442F-A856-A2D6BDE37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280987</xdr:colOff>
      <xdr:row>37</xdr:row>
      <xdr:rowOff>166687</xdr:rowOff>
    </xdr:from>
    <xdr:to>
      <xdr:col>5</xdr:col>
      <xdr:colOff>542925</xdr:colOff>
      <xdr:row>52</xdr:row>
      <xdr:rowOff>52387</xdr:rowOff>
    </xdr:to>
    <xdr:graphicFrame macro="">
      <xdr:nvGraphicFramePr>
        <xdr:cNvPr id="9" name="Chart 8">
          <a:extLst>
            <a:ext uri="{FF2B5EF4-FFF2-40B4-BE49-F238E27FC236}">
              <a16:creationId xmlns:a16="http://schemas.microsoft.com/office/drawing/2014/main" id="{B3BF7CA2-99E9-436E-B5A3-9535D9C74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485775</xdr:colOff>
      <xdr:row>17</xdr:row>
      <xdr:rowOff>76200</xdr:rowOff>
    </xdr:from>
    <xdr:to>
      <xdr:col>5</xdr:col>
      <xdr:colOff>400050</xdr:colOff>
      <xdr:row>30</xdr:row>
      <xdr:rowOff>123825</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09187A92-EB64-49AA-AD90-188BC9A47AA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695700" y="3314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962025</xdr:colOff>
      <xdr:row>19</xdr:row>
      <xdr:rowOff>171450</xdr:rowOff>
    </xdr:from>
    <xdr:to>
      <xdr:col>5</xdr:col>
      <xdr:colOff>790575</xdr:colOff>
      <xdr:row>33</xdr:row>
      <xdr:rowOff>28575</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746E6E58-5B0F-46B6-9FFE-6205FD9C477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086225" y="3790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xdr:rowOff>
    </xdr:from>
    <xdr:to>
      <xdr:col>2</xdr:col>
      <xdr:colOff>66675</xdr:colOff>
      <xdr:row>3</xdr:row>
      <xdr:rowOff>1</xdr:rowOff>
    </xdr:to>
    <xdr:sp macro="" textlink="">
      <xdr:nvSpPr>
        <xdr:cNvPr id="2" name="Rectangle 1">
          <a:extLst>
            <a:ext uri="{FF2B5EF4-FFF2-40B4-BE49-F238E27FC236}">
              <a16:creationId xmlns:a16="http://schemas.microsoft.com/office/drawing/2014/main" id="{9A6FB80D-39A1-4519-94EC-E1D0C95D2EED}"/>
            </a:ext>
          </a:extLst>
        </xdr:cNvPr>
        <xdr:cNvSpPr/>
      </xdr:nvSpPr>
      <xdr:spPr>
        <a:xfrm>
          <a:off x="9525" y="1"/>
          <a:ext cx="1276350" cy="57150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154781</xdr:colOff>
      <xdr:row>0</xdr:row>
      <xdr:rowOff>38101</xdr:rowOff>
    </xdr:from>
    <xdr:to>
      <xdr:col>18</xdr:col>
      <xdr:colOff>400049</xdr:colOff>
      <xdr:row>3</xdr:row>
      <xdr:rowOff>1</xdr:rowOff>
    </xdr:to>
    <xdr:sp macro="" textlink="">
      <xdr:nvSpPr>
        <xdr:cNvPr id="15" name="Rectangle 14">
          <a:extLst>
            <a:ext uri="{FF2B5EF4-FFF2-40B4-BE49-F238E27FC236}">
              <a16:creationId xmlns:a16="http://schemas.microsoft.com/office/drawing/2014/main" id="{1E410F1A-F1EB-4231-8F06-0E3C1387D6E3}"/>
            </a:ext>
          </a:extLst>
        </xdr:cNvPr>
        <xdr:cNvSpPr/>
      </xdr:nvSpPr>
      <xdr:spPr>
        <a:xfrm>
          <a:off x="1369219" y="38101"/>
          <a:ext cx="9960768" cy="53340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161925</xdr:colOff>
      <xdr:row>3</xdr:row>
      <xdr:rowOff>28575</xdr:rowOff>
    </xdr:from>
    <xdr:to>
      <xdr:col>4</xdr:col>
      <xdr:colOff>552450</xdr:colOff>
      <xdr:row>6</xdr:row>
      <xdr:rowOff>76200</xdr:rowOff>
    </xdr:to>
    <xdr:sp macro="" textlink="">
      <xdr:nvSpPr>
        <xdr:cNvPr id="16" name="Rectangle 15">
          <a:extLst>
            <a:ext uri="{FF2B5EF4-FFF2-40B4-BE49-F238E27FC236}">
              <a16:creationId xmlns:a16="http://schemas.microsoft.com/office/drawing/2014/main" id="{D7E714C1-9338-441E-A649-B82BDF8E8950}"/>
            </a:ext>
          </a:extLst>
        </xdr:cNvPr>
        <xdr:cNvSpPr/>
      </xdr:nvSpPr>
      <xdr:spPr>
        <a:xfrm>
          <a:off x="1381125" y="600075"/>
          <a:ext cx="1609725" cy="6191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₦10,447,536,600 </a:t>
          </a:r>
        </a:p>
      </xdr:txBody>
    </xdr:sp>
    <xdr:clientData/>
  </xdr:twoCellAnchor>
  <xdr:twoCellAnchor>
    <xdr:from>
      <xdr:col>0</xdr:col>
      <xdr:colOff>0</xdr:colOff>
      <xdr:row>3</xdr:row>
      <xdr:rowOff>57150</xdr:rowOff>
    </xdr:from>
    <xdr:to>
      <xdr:col>2</xdr:col>
      <xdr:colOff>57150</xdr:colOff>
      <xdr:row>31</xdr:row>
      <xdr:rowOff>180975</xdr:rowOff>
    </xdr:to>
    <xdr:sp macro="" textlink="">
      <xdr:nvSpPr>
        <xdr:cNvPr id="17" name="Rectangle 16">
          <a:extLst>
            <a:ext uri="{FF2B5EF4-FFF2-40B4-BE49-F238E27FC236}">
              <a16:creationId xmlns:a16="http://schemas.microsoft.com/office/drawing/2014/main" id="{F13EAAB9-2868-495A-8CC7-7A83C38BE84E}"/>
            </a:ext>
          </a:extLst>
        </xdr:cNvPr>
        <xdr:cNvSpPr/>
      </xdr:nvSpPr>
      <xdr:spPr>
        <a:xfrm>
          <a:off x="0" y="628650"/>
          <a:ext cx="1276350" cy="54578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523875</xdr:colOff>
      <xdr:row>6</xdr:row>
      <xdr:rowOff>142875</xdr:rowOff>
    </xdr:from>
    <xdr:to>
      <xdr:col>12</xdr:col>
      <xdr:colOff>95250</xdr:colOff>
      <xdr:row>18</xdr:row>
      <xdr:rowOff>171450</xdr:rowOff>
    </xdr:to>
    <xdr:sp macro="" textlink="">
      <xdr:nvSpPr>
        <xdr:cNvPr id="19" name="Rectangle 18">
          <a:extLst>
            <a:ext uri="{FF2B5EF4-FFF2-40B4-BE49-F238E27FC236}">
              <a16:creationId xmlns:a16="http://schemas.microsoft.com/office/drawing/2014/main" id="{CA3CF046-62EF-40AC-B62D-32982C31305F}"/>
            </a:ext>
          </a:extLst>
        </xdr:cNvPr>
        <xdr:cNvSpPr/>
      </xdr:nvSpPr>
      <xdr:spPr>
        <a:xfrm>
          <a:off x="4181475" y="1285875"/>
          <a:ext cx="3228975" cy="231457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xdr:colOff>
      <xdr:row>3</xdr:row>
      <xdr:rowOff>38100</xdr:rowOff>
    </xdr:from>
    <xdr:to>
      <xdr:col>8</xdr:col>
      <xdr:colOff>180975</xdr:colOff>
      <xdr:row>6</xdr:row>
      <xdr:rowOff>76200</xdr:rowOff>
    </xdr:to>
    <xdr:sp macro="" textlink="">
      <xdr:nvSpPr>
        <xdr:cNvPr id="22" name="Rectangle 21">
          <a:extLst>
            <a:ext uri="{FF2B5EF4-FFF2-40B4-BE49-F238E27FC236}">
              <a16:creationId xmlns:a16="http://schemas.microsoft.com/office/drawing/2014/main" id="{202CAC96-0790-47E8-A802-6DB6412DFFDB}"/>
            </a:ext>
          </a:extLst>
        </xdr:cNvPr>
        <xdr:cNvSpPr/>
      </xdr:nvSpPr>
      <xdr:spPr>
        <a:xfrm>
          <a:off x="3057525" y="609600"/>
          <a:ext cx="2000250" cy="60960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a:p>
          <a:pPr algn="l"/>
          <a:endParaRPr lang="en-US" sz="1100">
            <a:solidFill>
              <a:schemeClr val="bg1"/>
            </a:solidFill>
          </a:endParaRPr>
        </a:p>
      </xdr:txBody>
    </xdr:sp>
    <xdr:clientData/>
  </xdr:twoCellAnchor>
  <xdr:twoCellAnchor>
    <xdr:from>
      <xdr:col>2</xdr:col>
      <xdr:colOff>171450</xdr:colOff>
      <xdr:row>20</xdr:row>
      <xdr:rowOff>161924</xdr:rowOff>
    </xdr:from>
    <xdr:to>
      <xdr:col>5</xdr:col>
      <xdr:colOff>457200</xdr:colOff>
      <xdr:row>29</xdr:row>
      <xdr:rowOff>152399</xdr:rowOff>
    </xdr:to>
    <xdr:sp macro="" textlink="">
      <xdr:nvSpPr>
        <xdr:cNvPr id="23" name="Rectangle 22">
          <a:extLst>
            <a:ext uri="{FF2B5EF4-FFF2-40B4-BE49-F238E27FC236}">
              <a16:creationId xmlns:a16="http://schemas.microsoft.com/office/drawing/2014/main" id="{CFD11004-5BF8-417F-B3AA-B87F108495CF}"/>
            </a:ext>
          </a:extLst>
        </xdr:cNvPr>
        <xdr:cNvSpPr/>
      </xdr:nvSpPr>
      <xdr:spPr>
        <a:xfrm>
          <a:off x="1390650" y="3971924"/>
          <a:ext cx="2114550" cy="170497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152401</xdr:colOff>
      <xdr:row>6</xdr:row>
      <xdr:rowOff>142875</xdr:rowOff>
    </xdr:from>
    <xdr:to>
      <xdr:col>5</xdr:col>
      <xdr:colOff>438151</xdr:colOff>
      <xdr:row>14</xdr:row>
      <xdr:rowOff>0</xdr:rowOff>
    </xdr:to>
    <xdr:sp macro="" textlink="">
      <xdr:nvSpPr>
        <xdr:cNvPr id="24" name="Rectangle 23">
          <a:extLst>
            <a:ext uri="{FF2B5EF4-FFF2-40B4-BE49-F238E27FC236}">
              <a16:creationId xmlns:a16="http://schemas.microsoft.com/office/drawing/2014/main" id="{22EAE4D1-8067-4E59-9BC0-25551C3C5AF2}"/>
            </a:ext>
          </a:extLst>
        </xdr:cNvPr>
        <xdr:cNvSpPr/>
      </xdr:nvSpPr>
      <xdr:spPr>
        <a:xfrm>
          <a:off x="1371601" y="1285875"/>
          <a:ext cx="2114550" cy="13811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419101</xdr:colOff>
      <xdr:row>0</xdr:row>
      <xdr:rowOff>104775</xdr:rowOff>
    </xdr:from>
    <xdr:ext cx="6400800" cy="352425"/>
    <xdr:sp macro="" textlink="">
      <xdr:nvSpPr>
        <xdr:cNvPr id="33" name="TextBox 32">
          <a:extLst>
            <a:ext uri="{FF2B5EF4-FFF2-40B4-BE49-F238E27FC236}">
              <a16:creationId xmlns:a16="http://schemas.microsoft.com/office/drawing/2014/main" id="{C5FE4CFA-1C39-4E13-B641-A24011BD68B0}"/>
            </a:ext>
          </a:extLst>
        </xdr:cNvPr>
        <xdr:cNvSpPr txBox="1"/>
      </xdr:nvSpPr>
      <xdr:spPr>
        <a:xfrm>
          <a:off x="1638301" y="104775"/>
          <a:ext cx="6400800" cy="352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lvl="2"/>
          <a:r>
            <a:rPr lang="en-US" sz="1600" b="0">
              <a:solidFill>
                <a:schemeClr val="bg1"/>
              </a:solidFill>
              <a:latin typeface="Forte" panose="03060902040502070203" pitchFamily="66" charset="0"/>
            </a:rPr>
            <a:t>AFRIMAT KOLLYBRIGHT DASHBOARD</a:t>
          </a:r>
        </a:p>
      </xdr:txBody>
    </xdr:sp>
    <xdr:clientData/>
  </xdr:oneCellAnchor>
  <xdr:twoCellAnchor editAs="oneCell">
    <xdr:from>
      <xdr:col>2</xdr:col>
      <xdr:colOff>428625</xdr:colOff>
      <xdr:row>0</xdr:row>
      <xdr:rowOff>57150</xdr:rowOff>
    </xdr:from>
    <xdr:to>
      <xdr:col>4</xdr:col>
      <xdr:colOff>95250</xdr:colOff>
      <xdr:row>3</xdr:row>
      <xdr:rowOff>9525</xdr:rowOff>
    </xdr:to>
    <xdr:pic>
      <xdr:nvPicPr>
        <xdr:cNvPr id="35" name="Graphic 34" descr="Shopping cart with solid fill">
          <a:extLst>
            <a:ext uri="{FF2B5EF4-FFF2-40B4-BE49-F238E27FC236}">
              <a16:creationId xmlns:a16="http://schemas.microsoft.com/office/drawing/2014/main" id="{17F69947-8DBF-4FA0-9799-F8D48904D7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647825" y="57150"/>
          <a:ext cx="885825" cy="523875"/>
        </a:xfrm>
        <a:prstGeom prst="rect">
          <a:avLst/>
        </a:prstGeom>
      </xdr:spPr>
    </xdr:pic>
    <xdr:clientData/>
  </xdr:twoCellAnchor>
  <xdr:twoCellAnchor editAs="oneCell">
    <xdr:from>
      <xdr:col>0</xdr:col>
      <xdr:colOff>190500</xdr:colOff>
      <xdr:row>9</xdr:row>
      <xdr:rowOff>142874</xdr:rowOff>
    </xdr:from>
    <xdr:to>
      <xdr:col>1</xdr:col>
      <xdr:colOff>495300</xdr:colOff>
      <xdr:row>15</xdr:row>
      <xdr:rowOff>4799</xdr:rowOff>
    </xdr:to>
    <xdr:pic>
      <xdr:nvPicPr>
        <xdr:cNvPr id="37" name="Graphic 36" descr="Statistics with solid fill">
          <a:hlinkClick xmlns:r="http://schemas.openxmlformats.org/officeDocument/2006/relationships" r:id="rId3"/>
          <a:extLst>
            <a:ext uri="{FF2B5EF4-FFF2-40B4-BE49-F238E27FC236}">
              <a16:creationId xmlns:a16="http://schemas.microsoft.com/office/drawing/2014/main" id="{5148AD53-8F10-4B12-9979-3348272884F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90500" y="1857374"/>
          <a:ext cx="914400" cy="1004925"/>
        </a:xfrm>
        <a:prstGeom prst="rect">
          <a:avLst/>
        </a:prstGeom>
      </xdr:spPr>
    </xdr:pic>
    <xdr:clientData/>
  </xdr:twoCellAnchor>
  <xdr:twoCellAnchor editAs="oneCell">
    <xdr:from>
      <xdr:col>0</xdr:col>
      <xdr:colOff>197625</xdr:colOff>
      <xdr:row>3</xdr:row>
      <xdr:rowOff>130949</xdr:rowOff>
    </xdr:from>
    <xdr:to>
      <xdr:col>1</xdr:col>
      <xdr:colOff>502425</xdr:colOff>
      <xdr:row>8</xdr:row>
      <xdr:rowOff>183374</xdr:rowOff>
    </xdr:to>
    <xdr:pic>
      <xdr:nvPicPr>
        <xdr:cNvPr id="39" name="Graphic 38" descr="Books on shelf with solid fill">
          <a:hlinkClick xmlns:r="http://schemas.openxmlformats.org/officeDocument/2006/relationships" r:id="rId6"/>
          <a:extLst>
            <a:ext uri="{FF2B5EF4-FFF2-40B4-BE49-F238E27FC236}">
              <a16:creationId xmlns:a16="http://schemas.microsoft.com/office/drawing/2014/main" id="{9C1440FC-52AC-4FE5-954A-3BC2A3D4303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97625" y="702449"/>
          <a:ext cx="914400" cy="1004925"/>
        </a:xfrm>
        <a:prstGeom prst="rect">
          <a:avLst/>
        </a:prstGeom>
      </xdr:spPr>
    </xdr:pic>
    <xdr:clientData/>
  </xdr:twoCellAnchor>
  <xdr:twoCellAnchor editAs="oneCell">
    <xdr:from>
      <xdr:col>0</xdr:col>
      <xdr:colOff>252375</xdr:colOff>
      <xdr:row>16</xdr:row>
      <xdr:rowOff>42824</xdr:rowOff>
    </xdr:from>
    <xdr:to>
      <xdr:col>1</xdr:col>
      <xdr:colOff>557175</xdr:colOff>
      <xdr:row>21</xdr:row>
      <xdr:rowOff>95249</xdr:rowOff>
    </xdr:to>
    <xdr:pic>
      <xdr:nvPicPr>
        <xdr:cNvPr id="41" name="Graphic 40" descr="Magnifying glass with solid fill">
          <a:hlinkClick xmlns:r="http://schemas.openxmlformats.org/officeDocument/2006/relationships" r:id="rId9"/>
          <a:extLst>
            <a:ext uri="{FF2B5EF4-FFF2-40B4-BE49-F238E27FC236}">
              <a16:creationId xmlns:a16="http://schemas.microsoft.com/office/drawing/2014/main" id="{695D8C45-0A71-4C73-9D7E-B96E5F915B8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52375" y="3090824"/>
          <a:ext cx="914400" cy="1004925"/>
        </a:xfrm>
        <a:prstGeom prst="rect">
          <a:avLst/>
        </a:prstGeom>
      </xdr:spPr>
    </xdr:pic>
    <xdr:clientData/>
  </xdr:twoCellAnchor>
  <xdr:oneCellAnchor>
    <xdr:from>
      <xdr:col>3</xdr:col>
      <xdr:colOff>123825</xdr:colOff>
      <xdr:row>4</xdr:row>
      <xdr:rowOff>142875</xdr:rowOff>
    </xdr:from>
    <xdr:ext cx="838200" cy="247650"/>
    <xdr:sp macro="" textlink="">
      <xdr:nvSpPr>
        <xdr:cNvPr id="42" name="TextBox 41">
          <a:extLst>
            <a:ext uri="{FF2B5EF4-FFF2-40B4-BE49-F238E27FC236}">
              <a16:creationId xmlns:a16="http://schemas.microsoft.com/office/drawing/2014/main" id="{33C630A6-8C5A-45CC-B69E-83E4346BCDCD}"/>
            </a:ext>
          </a:extLst>
        </xdr:cNvPr>
        <xdr:cNvSpPr txBox="1"/>
      </xdr:nvSpPr>
      <xdr:spPr>
        <a:xfrm>
          <a:off x="1952625" y="904875"/>
          <a:ext cx="83820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bg1"/>
              </a:solidFill>
            </a:rPr>
            <a:t>Revenue</a:t>
          </a:r>
        </a:p>
      </xdr:txBody>
    </xdr:sp>
    <xdr:clientData/>
  </xdr:oneCellAnchor>
  <xdr:twoCellAnchor editAs="oneCell">
    <xdr:from>
      <xdr:col>2</xdr:col>
      <xdr:colOff>257175</xdr:colOff>
      <xdr:row>4</xdr:row>
      <xdr:rowOff>152399</xdr:rowOff>
    </xdr:from>
    <xdr:to>
      <xdr:col>3</xdr:col>
      <xdr:colOff>38100</xdr:colOff>
      <xdr:row>6</xdr:row>
      <xdr:rowOff>9524</xdr:rowOff>
    </xdr:to>
    <xdr:pic>
      <xdr:nvPicPr>
        <xdr:cNvPr id="44" name="Graphic 43" descr="Money with solid fill">
          <a:extLst>
            <a:ext uri="{FF2B5EF4-FFF2-40B4-BE49-F238E27FC236}">
              <a16:creationId xmlns:a16="http://schemas.microsoft.com/office/drawing/2014/main" id="{AFCA9CE6-9B42-491D-95F1-5EBFD3BB832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476375" y="914399"/>
          <a:ext cx="390525" cy="238125"/>
        </a:xfrm>
        <a:prstGeom prst="rect">
          <a:avLst/>
        </a:prstGeom>
      </xdr:spPr>
    </xdr:pic>
    <xdr:clientData/>
  </xdr:twoCellAnchor>
  <xdr:twoCellAnchor>
    <xdr:from>
      <xdr:col>5</xdr:col>
      <xdr:colOff>152401</xdr:colOff>
      <xdr:row>3</xdr:row>
      <xdr:rowOff>66676</xdr:rowOff>
    </xdr:from>
    <xdr:to>
      <xdr:col>7</xdr:col>
      <xdr:colOff>514351</xdr:colOff>
      <xdr:row>4</xdr:row>
      <xdr:rowOff>161925</xdr:rowOff>
    </xdr:to>
    <xdr:sp macro="" textlink="Sheet2!B116">
      <xdr:nvSpPr>
        <xdr:cNvPr id="46" name="Rectangle 45">
          <a:extLst>
            <a:ext uri="{FF2B5EF4-FFF2-40B4-BE49-F238E27FC236}">
              <a16:creationId xmlns:a16="http://schemas.microsoft.com/office/drawing/2014/main" id="{49699E90-A665-4F1D-A679-1757FB4FD3D3}"/>
            </a:ext>
          </a:extLst>
        </xdr:cNvPr>
        <xdr:cNvSpPr/>
      </xdr:nvSpPr>
      <xdr:spPr>
        <a:xfrm>
          <a:off x="3200401" y="638176"/>
          <a:ext cx="1581150" cy="285749"/>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E69403B8-0475-4581-BD1A-20BE288A0469}" type="TxLink">
            <a:rPr lang="en-US" sz="1400" b="1" i="0" u="none" strike="noStrike">
              <a:solidFill>
                <a:schemeClr val="tx1">
                  <a:lumMod val="85000"/>
                  <a:lumOff val="15000"/>
                </a:schemeClr>
              </a:solidFill>
              <a:latin typeface="Calibri"/>
              <a:ea typeface="Calibri"/>
              <a:cs typeface="Calibri"/>
            </a:rPr>
            <a:t> ₦2,099,369,250 </a:t>
          </a:fld>
          <a:endParaRPr lang="en-US" sz="1400" b="1">
            <a:solidFill>
              <a:schemeClr val="tx1">
                <a:lumMod val="85000"/>
                <a:lumOff val="15000"/>
              </a:schemeClr>
            </a:solidFill>
          </a:endParaRPr>
        </a:p>
      </xdr:txBody>
    </xdr:sp>
    <xdr:clientData/>
  </xdr:twoCellAnchor>
  <xdr:twoCellAnchor editAs="oneCell">
    <xdr:from>
      <xdr:col>6</xdr:col>
      <xdr:colOff>523875</xdr:colOff>
      <xdr:row>4</xdr:row>
      <xdr:rowOff>180975</xdr:rowOff>
    </xdr:from>
    <xdr:to>
      <xdr:col>7</xdr:col>
      <xdr:colOff>401997</xdr:colOff>
      <xdr:row>6</xdr:row>
      <xdr:rowOff>98705</xdr:rowOff>
    </xdr:to>
    <xdr:pic>
      <xdr:nvPicPr>
        <xdr:cNvPr id="50" name="Picture 49">
          <a:extLst>
            <a:ext uri="{FF2B5EF4-FFF2-40B4-BE49-F238E27FC236}">
              <a16:creationId xmlns:a16="http://schemas.microsoft.com/office/drawing/2014/main" id="{EF4FD98C-81E2-4F0F-8C10-E36AE7852B20}"/>
            </a:ext>
          </a:extLst>
        </xdr:cNvPr>
        <xdr:cNvPicPr>
          <a:picLocks noChangeAspect="1"/>
        </xdr:cNvPicPr>
      </xdr:nvPicPr>
      <xdr:blipFill>
        <a:blip xmlns:r="http://schemas.openxmlformats.org/officeDocument/2006/relationships" r:embed="rId14"/>
        <a:stretch>
          <a:fillRect/>
        </a:stretch>
      </xdr:blipFill>
      <xdr:spPr>
        <a:xfrm>
          <a:off x="4181475" y="942975"/>
          <a:ext cx="487722" cy="298730"/>
        </a:xfrm>
        <a:prstGeom prst="rect">
          <a:avLst/>
        </a:prstGeom>
      </xdr:spPr>
    </xdr:pic>
    <xdr:clientData/>
  </xdr:twoCellAnchor>
  <xdr:twoCellAnchor>
    <xdr:from>
      <xdr:col>8</xdr:col>
      <xdr:colOff>304799</xdr:colOff>
      <xdr:row>3</xdr:row>
      <xdr:rowOff>47625</xdr:rowOff>
    </xdr:from>
    <xdr:to>
      <xdr:col>12</xdr:col>
      <xdr:colOff>238124</xdr:colOff>
      <xdr:row>6</xdr:row>
      <xdr:rowOff>66675</xdr:rowOff>
    </xdr:to>
    <xdr:sp macro="" textlink="">
      <xdr:nvSpPr>
        <xdr:cNvPr id="51" name="Rectangle 50">
          <a:extLst>
            <a:ext uri="{FF2B5EF4-FFF2-40B4-BE49-F238E27FC236}">
              <a16:creationId xmlns:a16="http://schemas.microsoft.com/office/drawing/2014/main" id="{8D03E7D9-5E2E-48A2-9A5D-85B9C01403B9}"/>
            </a:ext>
          </a:extLst>
        </xdr:cNvPr>
        <xdr:cNvSpPr/>
      </xdr:nvSpPr>
      <xdr:spPr>
        <a:xfrm>
          <a:off x="5181599" y="619125"/>
          <a:ext cx="2371725" cy="590550"/>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b="1">
              <a:solidFill>
                <a:schemeClr val="bg1"/>
              </a:solidFill>
            </a:rPr>
            <a:t> </a:t>
          </a:r>
          <a:r>
            <a:rPr lang="en-US" sz="1400" b="1">
              <a:solidFill>
                <a:schemeClr val="bg1"/>
              </a:solidFill>
            </a:rPr>
            <a:t>1,017,885</a:t>
          </a:r>
          <a:r>
            <a:rPr lang="en-US" b="1">
              <a:solidFill>
                <a:schemeClr val="bg1"/>
              </a:solidFill>
            </a:rPr>
            <a:t>  </a:t>
          </a:r>
        </a:p>
      </xdr:txBody>
    </xdr:sp>
    <xdr:clientData/>
  </xdr:twoCellAnchor>
  <xdr:twoCellAnchor editAs="oneCell">
    <xdr:from>
      <xdr:col>5</xdr:col>
      <xdr:colOff>485775</xdr:colOff>
      <xdr:row>5</xdr:row>
      <xdr:rowOff>9525</xdr:rowOff>
    </xdr:from>
    <xdr:to>
      <xdr:col>6</xdr:col>
      <xdr:colOff>400051</xdr:colOff>
      <xdr:row>6</xdr:row>
      <xdr:rowOff>57149</xdr:rowOff>
    </xdr:to>
    <xdr:pic>
      <xdr:nvPicPr>
        <xdr:cNvPr id="54" name="Graphic 53" descr="Upward trend with solid fill">
          <a:extLst>
            <a:ext uri="{FF2B5EF4-FFF2-40B4-BE49-F238E27FC236}">
              <a16:creationId xmlns:a16="http://schemas.microsoft.com/office/drawing/2014/main" id="{2A72827A-8B91-4D15-B03D-FD1C4BFA8E3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3533775" y="962025"/>
          <a:ext cx="523876" cy="238124"/>
        </a:xfrm>
        <a:prstGeom prst="rect">
          <a:avLst/>
        </a:prstGeom>
      </xdr:spPr>
    </xdr:pic>
    <xdr:clientData/>
  </xdr:twoCellAnchor>
  <xdr:twoCellAnchor editAs="oneCell">
    <xdr:from>
      <xdr:col>9</xdr:col>
      <xdr:colOff>504825</xdr:colOff>
      <xdr:row>4</xdr:row>
      <xdr:rowOff>152400</xdr:rowOff>
    </xdr:from>
    <xdr:to>
      <xdr:col>10</xdr:col>
      <xdr:colOff>553650</xdr:colOff>
      <xdr:row>6</xdr:row>
      <xdr:rowOff>70130</xdr:rowOff>
    </xdr:to>
    <xdr:pic>
      <xdr:nvPicPr>
        <xdr:cNvPr id="56" name="Picture 55">
          <a:extLst>
            <a:ext uri="{FF2B5EF4-FFF2-40B4-BE49-F238E27FC236}">
              <a16:creationId xmlns:a16="http://schemas.microsoft.com/office/drawing/2014/main" id="{F1EBE20D-4DA1-4147-A776-A99AF64DCB08}"/>
            </a:ext>
          </a:extLst>
        </xdr:cNvPr>
        <xdr:cNvPicPr>
          <a:picLocks noChangeAspect="1"/>
        </xdr:cNvPicPr>
      </xdr:nvPicPr>
      <xdr:blipFill>
        <a:blip xmlns:r="http://schemas.openxmlformats.org/officeDocument/2006/relationships" r:embed="rId17"/>
        <a:stretch>
          <a:fillRect/>
        </a:stretch>
      </xdr:blipFill>
      <xdr:spPr>
        <a:xfrm>
          <a:off x="5991225" y="914400"/>
          <a:ext cx="658425" cy="298730"/>
        </a:xfrm>
        <a:prstGeom prst="rect">
          <a:avLst/>
        </a:prstGeom>
      </xdr:spPr>
    </xdr:pic>
    <xdr:clientData/>
  </xdr:twoCellAnchor>
  <xdr:twoCellAnchor editAs="oneCell">
    <xdr:from>
      <xdr:col>8</xdr:col>
      <xdr:colOff>514350</xdr:colOff>
      <xdr:row>4</xdr:row>
      <xdr:rowOff>104775</xdr:rowOff>
    </xdr:from>
    <xdr:to>
      <xdr:col>9</xdr:col>
      <xdr:colOff>342900</xdr:colOff>
      <xdr:row>6</xdr:row>
      <xdr:rowOff>47625</xdr:rowOff>
    </xdr:to>
    <xdr:pic>
      <xdr:nvPicPr>
        <xdr:cNvPr id="58" name="Graphic 57" descr="Coins with solid fill">
          <a:extLst>
            <a:ext uri="{FF2B5EF4-FFF2-40B4-BE49-F238E27FC236}">
              <a16:creationId xmlns:a16="http://schemas.microsoft.com/office/drawing/2014/main" id="{32301950-CC47-4126-A49C-4E0477DD2B3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5391150" y="866775"/>
          <a:ext cx="438150" cy="323850"/>
        </a:xfrm>
        <a:prstGeom prst="rect">
          <a:avLst/>
        </a:prstGeom>
      </xdr:spPr>
    </xdr:pic>
    <xdr:clientData/>
  </xdr:twoCellAnchor>
  <xdr:twoCellAnchor>
    <xdr:from>
      <xdr:col>2</xdr:col>
      <xdr:colOff>152402</xdr:colOff>
      <xdr:row>6</xdr:row>
      <xdr:rowOff>104774</xdr:rowOff>
    </xdr:from>
    <xdr:to>
      <xdr:col>6</xdr:col>
      <xdr:colOff>457200</xdr:colOff>
      <xdr:row>18</xdr:row>
      <xdr:rowOff>180975</xdr:rowOff>
    </xdr:to>
    <xdr:graphicFrame macro="">
      <xdr:nvGraphicFramePr>
        <xdr:cNvPr id="59" name="Chart 58">
          <a:extLst>
            <a:ext uri="{FF2B5EF4-FFF2-40B4-BE49-F238E27FC236}">
              <a16:creationId xmlns:a16="http://schemas.microsoft.com/office/drawing/2014/main" id="{6E4C7F06-66E7-4494-9BD9-964A6653F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152400</xdr:colOff>
      <xdr:row>19</xdr:row>
      <xdr:rowOff>95252</xdr:rowOff>
    </xdr:from>
    <xdr:to>
      <xdr:col>6</xdr:col>
      <xdr:colOff>447675</xdr:colOff>
      <xdr:row>31</xdr:row>
      <xdr:rowOff>180976</xdr:rowOff>
    </xdr:to>
    <xdr:graphicFrame macro="">
      <xdr:nvGraphicFramePr>
        <xdr:cNvPr id="60" name="Chart 59">
          <a:extLst>
            <a:ext uri="{FF2B5EF4-FFF2-40B4-BE49-F238E27FC236}">
              <a16:creationId xmlns:a16="http://schemas.microsoft.com/office/drawing/2014/main" id="{006F8F5D-E46C-4176-8257-6BB966313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523875</xdr:colOff>
      <xdr:row>19</xdr:row>
      <xdr:rowOff>123825</xdr:rowOff>
    </xdr:from>
    <xdr:to>
      <xdr:col>12</xdr:col>
      <xdr:colOff>228600</xdr:colOff>
      <xdr:row>32</xdr:row>
      <xdr:rowOff>0</xdr:rowOff>
    </xdr:to>
    <xdr:graphicFrame macro="">
      <xdr:nvGraphicFramePr>
        <xdr:cNvPr id="61" name="Chart 60">
          <a:extLst>
            <a:ext uri="{FF2B5EF4-FFF2-40B4-BE49-F238E27FC236}">
              <a16:creationId xmlns:a16="http://schemas.microsoft.com/office/drawing/2014/main" id="{21DF6A8B-4202-455B-9935-8567935D4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523875</xdr:colOff>
      <xdr:row>6</xdr:row>
      <xdr:rowOff>142875</xdr:rowOff>
    </xdr:from>
    <xdr:to>
      <xdr:col>12</xdr:col>
      <xdr:colOff>238125</xdr:colOff>
      <xdr:row>19</xdr:row>
      <xdr:rowOff>0</xdr:rowOff>
    </xdr:to>
    <xdr:graphicFrame macro="">
      <xdr:nvGraphicFramePr>
        <xdr:cNvPr id="62" name="Chart 61">
          <a:extLst>
            <a:ext uri="{FF2B5EF4-FFF2-40B4-BE49-F238E27FC236}">
              <a16:creationId xmlns:a16="http://schemas.microsoft.com/office/drawing/2014/main" id="{2435B49D-98BE-4383-ABA1-A95B417DE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12</xdr:col>
      <xdr:colOff>314325</xdr:colOff>
      <xdr:row>3</xdr:row>
      <xdr:rowOff>47626</xdr:rowOff>
    </xdr:from>
    <xdr:to>
      <xdr:col>18</xdr:col>
      <xdr:colOff>400050</xdr:colOff>
      <xdr:row>19</xdr:row>
      <xdr:rowOff>19052</xdr:rowOff>
    </xdr:to>
    <xdr:graphicFrame macro="">
      <xdr:nvGraphicFramePr>
        <xdr:cNvPr id="66" name="Chart 65">
          <a:extLst>
            <a:ext uri="{FF2B5EF4-FFF2-40B4-BE49-F238E27FC236}">
              <a16:creationId xmlns:a16="http://schemas.microsoft.com/office/drawing/2014/main" id="{E02AC8B2-0FF6-4A44-9146-9AA62D75B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352424</xdr:colOff>
      <xdr:row>19</xdr:row>
      <xdr:rowOff>142875</xdr:rowOff>
    </xdr:from>
    <xdr:to>
      <xdr:col>18</xdr:col>
      <xdr:colOff>380999</xdr:colOff>
      <xdr:row>32</xdr:row>
      <xdr:rowOff>28575</xdr:rowOff>
    </xdr:to>
    <xdr:graphicFrame macro="">
      <xdr:nvGraphicFramePr>
        <xdr:cNvPr id="67" name="Chart 66">
          <a:extLst>
            <a:ext uri="{FF2B5EF4-FFF2-40B4-BE49-F238E27FC236}">
              <a16:creationId xmlns:a16="http://schemas.microsoft.com/office/drawing/2014/main" id="{DAEDB205-A3F7-458C-906D-B8EA7E45A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0</xdr:colOff>
      <xdr:row>24</xdr:row>
      <xdr:rowOff>0</xdr:rowOff>
    </xdr:from>
    <xdr:to>
      <xdr:col>2</xdr:col>
      <xdr:colOff>47624</xdr:colOff>
      <xdr:row>32</xdr:row>
      <xdr:rowOff>0</xdr:rowOff>
    </xdr:to>
    <mc:AlternateContent xmlns:mc="http://schemas.openxmlformats.org/markup-compatibility/2006">
      <mc:Choice xmlns:a14="http://schemas.microsoft.com/office/drawing/2010/main" Requires="a14">
        <xdr:graphicFrame macro="">
          <xdr:nvGraphicFramePr>
            <xdr:cNvPr id="68" name="Product 1">
              <a:extLst>
                <a:ext uri="{FF2B5EF4-FFF2-40B4-BE49-F238E27FC236}">
                  <a16:creationId xmlns:a16="http://schemas.microsoft.com/office/drawing/2014/main" id="{8A2D2C7D-843A-4B2C-8017-D069385891E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4572000"/>
              <a:ext cx="1272267"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S. olaleye" refreshedDate="46297.2195474537" createdVersion="7" refreshedVersion="7" minRefreshableVersion="3" recordCount="700" xr:uid="{A9EE12D7-B023-4BAF-96BE-A902611EA497}">
  <cacheSource type="worksheet">
    <worksheetSource name="Data"/>
  </cacheSource>
  <cacheFields count="13">
    <cacheField name="Country" numFmtId="0">
      <sharedItems count="10">
        <s v="Nigeria"/>
        <s v="South Africa"/>
        <s v="Uganda"/>
        <s v="Kenya"/>
        <s v="Ghana"/>
        <s v="Côte d’Ivoire"/>
        <s v="Tanzania"/>
        <s v="Senegal"/>
        <s v="Rwanda"/>
        <s v="Egypt"/>
      </sharedItems>
    </cacheField>
    <cacheField name="Product" numFmtId="0">
      <sharedItems count="7">
        <s v="Cement (50kg)"/>
        <s v="Palm Oil (5L)"/>
        <s v="Bread (Family Loaf)"/>
        <s v="Rice (50kg Bag)"/>
        <s v="Mobile Data Bundle"/>
        <s v="Garri (Cassava Flour)"/>
        <s v="Detergent (1kg)"/>
      </sharedItems>
    </cacheField>
    <cacheField name="Units Sold" numFmtId="0">
      <sharedItems containsSemiMixedTypes="0" containsString="0" containsNumber="1" containsInteger="1" minValue="51" maxValue="2996" count="620">
        <n v="455"/>
        <n v="2963"/>
        <n v="1849"/>
        <n v="186"/>
        <n v="1244"/>
        <n v="1468"/>
        <n v="997"/>
        <n v="2976"/>
        <n v="1503"/>
        <n v="967"/>
        <n v="2291"/>
        <n v="1798"/>
        <n v="1756"/>
        <n v="669"/>
        <n v="2216"/>
        <n v="2914"/>
        <n v="1162"/>
        <n v="664"/>
        <n v="542"/>
        <n v="2421"/>
        <n v="60"/>
        <n v="2356"/>
        <n v="1033"/>
        <n v="240"/>
        <n v="1460"/>
        <n v="1617"/>
        <n v="2184"/>
        <n v="84"/>
        <n v="235"/>
        <n v="2849"/>
        <n v="1006"/>
        <n v="2339"/>
        <n v="2843"/>
        <n v="2731"/>
        <n v="180"/>
        <n v="1571"/>
        <n v="342"/>
        <n v="856"/>
        <n v="963"/>
        <n v="2453"/>
        <n v="1038"/>
        <n v="1760"/>
        <n v="2400"/>
        <n v="2026"/>
        <n v="2093"/>
        <n v="1585"/>
        <n v="2432"/>
        <n v="2248"/>
        <n v="1414"/>
        <n v="1895"/>
        <n v="1714"/>
        <n v="384"/>
        <n v="1644"/>
        <n v="1983"/>
        <n v="2446"/>
        <n v="1754"/>
        <n v="1186"/>
        <n v="1399"/>
        <n v="78"/>
        <n v="918"/>
        <n v="576"/>
        <n v="1439"/>
        <n v="1759"/>
        <n v="2871"/>
        <n v="2121"/>
        <n v="1132"/>
        <n v="2298"/>
        <n v="1611"/>
        <n v="2717"/>
        <n v="1422"/>
        <n v="788"/>
        <n v="988"/>
        <n v="2787"/>
        <n v="570"/>
        <n v="2425"/>
        <n v="845"/>
        <n v="2913"/>
        <n v="638"/>
        <n v="619"/>
        <n v="2030"/>
        <n v="569"/>
        <n v="1309"/>
        <n v="121"/>
        <n v="215"/>
        <n v="2898"/>
        <n v="2219"/>
        <n v="155"/>
        <n v="949"/>
        <n v="2675"/>
        <n v="1491"/>
        <n v="1444"/>
        <n v="1330"/>
        <n v="2691"/>
        <n v="2158"/>
        <n v="367"/>
        <n v="1057"/>
        <n v="780"/>
        <n v="1090"/>
        <n v="1609"/>
        <n v="1066"/>
        <n v="804"/>
        <n v="2249"/>
        <n v="2090"/>
        <n v="2230"/>
        <n v="2784"/>
        <n v="2431"/>
        <n v="874"/>
        <n v="2062"/>
        <n v="1269"/>
        <n v="2307"/>
        <n v="956"/>
        <n v="2981"/>
        <n v="2831"/>
        <n v="444"/>
        <n v="2498"/>
        <n v="763"/>
        <n v="160"/>
        <n v="1020"/>
        <n v="1374"/>
        <n v="2190"/>
        <n v="657"/>
        <n v="430"/>
        <n v="310"/>
        <n v="2384"/>
        <n v="1851"/>
        <n v="1366"/>
        <n v="1367"/>
        <n v="300"/>
        <n v="1594"/>
        <n v="89"/>
        <n v="1641"/>
        <n v="1937"/>
        <n v="565"/>
        <n v="2050"/>
        <n v="842"/>
        <n v="427"/>
        <n v="828"/>
        <n v="1626"/>
        <n v="641"/>
        <n v="2036"/>
        <n v="1337"/>
        <n v="564"/>
        <n v="539"/>
        <n v="2592"/>
        <n v="2474"/>
        <n v="1405"/>
        <n v="642"/>
        <n v="2519"/>
        <n v="344"/>
        <n v="1485"/>
        <n v="1417"/>
        <n v="2685"/>
        <n v="734"/>
        <n v="686"/>
        <n v="989"/>
        <n v="77"/>
        <n v="509"/>
        <n v="1436"/>
        <n v="2810"/>
        <n v="2621"/>
        <n v="440"/>
        <n v="451"/>
        <n v="2674"/>
        <n v="1215"/>
        <n v="934"/>
        <n v="2516"/>
        <n v="606"/>
        <n v="1905"/>
        <n v="1465"/>
        <n v="291"/>
        <n v="366"/>
        <n v="2410"/>
        <n v="1440"/>
        <n v="1324"/>
        <n v="1649"/>
        <n v="1302"/>
        <n v="1341"/>
        <n v="2469"/>
        <n v="275"/>
        <n v="1964"/>
        <n v="2835"/>
        <n v="523"/>
        <n v="2296"/>
        <n v="1933"/>
        <n v="1629"/>
        <n v="843"/>
        <n v="379"/>
        <n v="61"/>
        <n v="2471"/>
        <n v="876"/>
        <n v="2031"/>
        <n v="1135"/>
        <n v="821"/>
        <n v="1093"/>
        <n v="1646"/>
        <n v="1340"/>
        <n v="1690"/>
        <n v="1536"/>
        <n v="2795"/>
        <n v="1104"/>
        <n v="1315"/>
        <n v="841"/>
        <n v="1034"/>
        <n v="2823"/>
        <n v="192"/>
        <n v="2385"/>
        <n v="575"/>
        <n v="2788"/>
        <n v="2166"/>
        <n v="450"/>
        <n v="413"/>
        <n v="1375"/>
        <n v="1939"/>
        <n v="1243"/>
        <n v="475"/>
        <n v="1297"/>
        <n v="2802"/>
        <n v="2557"/>
        <n v="2176"/>
        <n v="1100"/>
        <n v="2996"/>
        <n v="2552"/>
        <n v="625"/>
        <n v="2053"/>
        <n v="1289"/>
        <n v="266"/>
        <n v="2524"/>
        <n v="1568"/>
        <n v="2758"/>
        <n v="759"/>
        <n v="2082"/>
        <n v="2048"/>
        <n v="899"/>
        <n v="219"/>
        <n v="503"/>
        <n v="2035"/>
        <n v="409"/>
        <n v="749"/>
        <n v="1043"/>
        <n v="2556"/>
        <n v="1580"/>
        <n v="1344"/>
        <n v="1393"/>
        <n v="1818"/>
        <n v="2968"/>
        <n v="63"/>
        <n v="2032"/>
        <n v="1762"/>
        <n v="887"/>
        <n v="2006"/>
        <n v="1989"/>
        <n v="179"/>
        <n v="1812"/>
        <n v="221"/>
        <n v="265"/>
        <n v="984"/>
        <n v="321"/>
        <n v="1878"/>
        <n v="1383"/>
        <n v="986"/>
        <n v="2313"/>
        <n v="1268"/>
        <n v="1766"/>
        <n v="2511"/>
        <n v="70"/>
        <n v="1859"/>
        <n v="1133"/>
        <n v="2001"/>
        <n v="477"/>
        <n v="208"/>
        <n v="1357"/>
        <n v="2934"/>
        <n v="2083"/>
        <n v="96"/>
        <n v="1347"/>
        <n v="970"/>
        <n v="942"/>
        <n v="629"/>
        <n v="2046"/>
        <n v="1335"/>
        <n v="1624"/>
        <n v="2462"/>
        <n v="2946"/>
        <n v="398"/>
        <n v="985"/>
        <n v="2322"/>
        <n v="1945"/>
        <n v="453"/>
        <n v="2829"/>
        <n v="2720"/>
        <n v="807"/>
        <n v="1570"/>
        <n v="1867"/>
        <n v="746"/>
        <n v="2091"/>
        <n v="2786"/>
        <n v="2426"/>
        <n v="1610"/>
        <n v="1306"/>
        <n v="533"/>
        <n v="753"/>
        <n v="2589"/>
        <n v="1137"/>
        <n v="2108"/>
        <n v="2686"/>
        <n v="936"/>
        <n v="1489"/>
        <n v="2406"/>
        <n v="711"/>
        <n v="2941"/>
        <n v="2402"/>
        <n v="2902"/>
        <n v="1181"/>
        <n v="2450"/>
        <n v="2878"/>
        <n v="724"/>
        <n v="736"/>
        <n v="2305"/>
        <n v="1730"/>
        <n v="2598"/>
        <n v="166"/>
        <n v="2770"/>
        <n v="459"/>
        <n v="744"/>
        <n v="2970"/>
        <n v="402"/>
        <n v="2964"/>
        <n v="1018"/>
        <n v="175"/>
        <n v="2841"/>
        <n v="1346"/>
        <n v="2100"/>
        <n v="1004"/>
        <n v="86"/>
        <n v="1300"/>
        <n v="2478"/>
        <n v="2056"/>
        <n v="1657"/>
        <n v="1157"/>
        <n v="579"/>
        <n v="1975"/>
        <n v="1279"/>
        <n v="325"/>
        <n v="742"/>
        <n v="147"/>
        <n v="104"/>
        <n v="2170"/>
        <n v="2980"/>
        <n v="2594"/>
        <n v="808"/>
        <n v="797"/>
        <n v="87"/>
        <n v="1598"/>
        <n v="635"/>
        <n v="765"/>
        <n v="2845"/>
        <n v="2986"/>
        <n v="1763"/>
        <n v="2104"/>
        <n v="1977"/>
        <n v="1787"/>
        <n v="1847"/>
        <n v="2197"/>
        <n v="2096"/>
        <n v="1497"/>
        <n v="1897"/>
        <n v="1792"/>
        <n v="1058"/>
        <n v="1711"/>
        <n v="566"/>
        <n v="1508"/>
        <n v="1800"/>
        <n v="315"/>
        <n v="425"/>
        <n v="2661"/>
        <n v="2315"/>
        <n v="2603"/>
        <n v="1963"/>
        <n v="1826"/>
        <n v="2403"/>
        <n v="334"/>
        <n v="1080"/>
        <n v="2415"/>
        <n v="2163"/>
        <n v="2689"/>
        <n v="2070"/>
        <n v="1234"/>
        <n v="1085"/>
        <n v="2481"/>
        <n v="151"/>
        <n v="678"/>
        <n v="2785"/>
        <n v="1499"/>
        <n v="863"/>
        <n v="481"/>
        <n v="2850"/>
        <n v="103"/>
        <n v="2632"/>
        <n v="1295"/>
        <n v="1925"/>
        <n v="263"/>
        <n v="1161"/>
        <n v="1745"/>
        <n v="1280"/>
        <n v="2517"/>
        <n v="88"/>
        <n v="1854"/>
        <n v="1681"/>
        <n v="438"/>
        <n v="1024"/>
        <n v="405"/>
        <n v="2769"/>
        <n v="2289"/>
        <n v="935"/>
        <n v="387"/>
        <n v="1999"/>
        <n v="257"/>
        <n v="356"/>
        <n v="1901"/>
        <n v="679"/>
        <n v="2043"/>
        <n v="2019"/>
        <n v="1431"/>
        <n v="2904"/>
        <n v="414"/>
        <n v="531"/>
        <n v="2563"/>
        <n v="1171"/>
        <n v="448"/>
        <n v="1918"/>
        <n v="71"/>
        <n v="1148"/>
        <n v="2213"/>
        <n v="1672"/>
        <n v="553"/>
        <n v="2916"/>
        <n v="2393"/>
        <n v="299"/>
        <n v="195"/>
        <n v="2080"/>
        <n v="1430"/>
        <n v="2732"/>
        <n v="621"/>
        <n v="812"/>
        <n v="2027"/>
        <n v="2118"/>
        <n v="51"/>
        <n v="968"/>
        <n v="1686"/>
        <n v="538"/>
        <n v="827"/>
        <n v="1312"/>
        <n v="2323"/>
        <n v="830"/>
        <n v="1001"/>
        <n v="2858"/>
        <n v="1740"/>
        <n v="2953"/>
        <n v="2494"/>
        <n v="2254"/>
        <n v="2527"/>
        <n v="2303"/>
        <n v="1813"/>
        <n v="1751"/>
        <n v="2483"/>
        <n v="2063"/>
        <n v="2189"/>
        <n v="361"/>
        <n v="1437"/>
        <n v="357"/>
        <n v="2766"/>
        <n v="198"/>
        <n v="157"/>
        <n v="1273"/>
        <n v="1007"/>
        <n v="52"/>
        <n v="1187"/>
        <n v="2114"/>
        <n v="2894"/>
        <n v="602"/>
        <n v="1575"/>
        <n v="1835"/>
        <n v="800"/>
        <n v="1574"/>
        <n v="1689"/>
        <n v="1013"/>
        <n v="2321"/>
        <n v="2212"/>
        <n v="1396"/>
        <n v="412"/>
        <n v="1732"/>
        <n v="2818"/>
        <n v="858"/>
        <n v="1522"/>
        <n v="331"/>
        <n v="2582"/>
        <n v="1290"/>
        <n v="65"/>
        <n v="360"/>
        <n v="1761"/>
        <n v="1612"/>
        <n v="1159"/>
        <n v="1378"/>
        <n v="923"/>
        <n v="2959"/>
        <n v="2058"/>
        <n v="350"/>
        <n v="2983"/>
        <n v="424"/>
        <n v="1391"/>
        <n v="1550"/>
        <n v="1232"/>
        <n v="2285"/>
        <n v="1961"/>
        <n v="2137"/>
        <n v="1822"/>
        <n v="1597"/>
        <n v="2134"/>
        <n v="1063"/>
        <n v="656"/>
        <n v="598"/>
        <n v="2988"/>
        <n v="911"/>
        <n v="2262"/>
        <n v="1296"/>
        <n v="203"/>
        <n v="74"/>
        <n v="595"/>
        <n v="1821"/>
        <n v="1022"/>
        <n v="2085"/>
        <n v="633"/>
        <n v="778"/>
        <n v="684"/>
        <n v="2106"/>
        <n v="494"/>
        <n v="527"/>
        <n v="2390"/>
        <n v="2328"/>
        <n v="2761"/>
        <n v="110"/>
        <n v="2139"/>
        <n v="1089"/>
        <n v="1039"/>
        <n v="1516"/>
        <n v="294"/>
        <n v="2284"/>
        <n v="1037"/>
        <n v="1675"/>
        <n v="1873"/>
        <n v="1023"/>
        <n v="2484"/>
        <n v="1009"/>
        <n v="2013"/>
        <n v="2629"/>
        <n v="1319"/>
        <n v="1678"/>
        <n v="2608"/>
        <n v="2790"/>
        <n v="1362"/>
        <n v="2372"/>
        <n v="232"/>
        <n v="526"/>
        <n v="389"/>
        <n v="2682"/>
        <n v="776"/>
        <n v="2159"/>
        <n v="2433"/>
        <n v="2654"/>
        <n v="2179"/>
        <n v="2564"/>
        <n v="640"/>
        <n v="323"/>
        <n v="952"/>
        <n v="1696"/>
        <n v="2610"/>
        <n v="1409"/>
        <n v="1369"/>
        <n v="236"/>
        <n v="1112"/>
        <n v="388"/>
        <n v="1558"/>
        <n v="760"/>
        <n v="1513"/>
        <n v="209"/>
        <n v="1249"/>
        <n v="875"/>
        <n v="787"/>
        <n v="133"/>
        <n v="2044"/>
        <n v="508"/>
        <n v="944"/>
        <n v="1005"/>
        <n v="1705"/>
        <n v="2253"/>
        <n v="1064"/>
        <n v="1846"/>
        <n v="2668"/>
        <n v="327"/>
        <n v="983"/>
        <n v="139"/>
        <n v="2320"/>
        <n v="2480"/>
        <n v="799"/>
        <n v="941"/>
        <n v="2773"/>
        <n v="2076"/>
        <n v="2819"/>
        <n v="2991"/>
        <n v="754"/>
        <n v="2460"/>
        <n v="497"/>
        <n v="1316"/>
        <n v="2039"/>
        <n v="1323"/>
        <n v="319"/>
        <n v="1108"/>
        <n v="247"/>
        <n v="1258"/>
        <n v="178"/>
      </sharedItems>
    </cacheField>
    <cacheField name="Revenue" numFmtId="0">
      <sharedItems containsSemiMixedTypes="0" containsString="0" containsNumber="1" containsInteger="1" minValue="92400" maxValue="134820000"/>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acheField>
    <cacheField name="Date" numFmtId="14">
      <sharedItems containsSemiMixedTypes="0" containsNonDate="0" containsDate="1" containsString="0" minDate="2024-01-02T00:00:00" maxDate="2026-12-30T00:00:00" count="506">
        <d v="2024-01-19T00:00:00"/>
        <d v="2024-01-12T00:00:00"/>
        <d v="2024-01-21T00:00:00"/>
        <d v="2024-01-02T00:00:00"/>
        <d v="2024-01-10T00:00:00"/>
        <d v="2024-01-17T00:00:00"/>
        <d v="2024-01-29T00:00:00"/>
        <d v="2024-01-23T00:00:00"/>
        <d v="2024-01-28T00:00:00"/>
        <d v="2024-01-22T00:00:00"/>
        <d v="2024-02-12T00:00:00"/>
        <d v="2024-02-20T00:00:00"/>
        <d v="2024-02-05T00:00:00"/>
        <d v="2024-02-19T00:00:00"/>
        <d v="2024-02-27T00:00:00"/>
        <d v="2024-02-24T00:00:00"/>
        <d v="2024-02-11T00:00:00"/>
        <d v="2024-02-08T00:00:00"/>
        <d v="2024-02-07T00:00:00"/>
        <d v="2024-02-29T00:00:00"/>
        <d v="2024-02-18T00:00:00"/>
        <d v="2024-02-01T00:00:00"/>
        <d v="2024-03-26T00:00:00"/>
        <d v="2024-03-25T00:00:00"/>
        <d v="2024-03-30T00:00:00"/>
        <d v="2024-03-13T00:00:00"/>
        <d v="2024-03-07T00:00:00"/>
        <d v="2024-03-23T00:00:00"/>
        <d v="2024-03-05T00:00:00"/>
        <d v="2024-03-19T00:00:00"/>
        <d v="2024-03-27T00:00:00"/>
        <d v="2024-03-28T00:00:00"/>
        <d v="2024-03-18T00:00:00"/>
        <d v="2024-03-15T00:00:00"/>
        <d v="2024-03-06T00:00:00"/>
        <d v="2024-04-23T00:00:00"/>
        <d v="2024-04-11T00:00:00"/>
        <d v="2024-04-15T00:00:00"/>
        <d v="2024-04-25T00:00:00"/>
        <d v="2024-04-04T00:00:00"/>
        <d v="2024-04-01T00:00:00"/>
        <d v="2024-04-10T00:00:00"/>
        <d v="2024-04-14T00:00:00"/>
        <d v="2024-04-28T00:00:00"/>
        <d v="2024-04-22T00:00:00"/>
        <d v="2024-04-17T00:00:00"/>
        <d v="2024-04-21T00:00:00"/>
        <d v="2024-04-07T00:00:00"/>
        <d v="2024-05-22T00:00:00"/>
        <d v="2024-05-20T00:00:00"/>
        <d v="2024-05-31T00:00:00"/>
        <d v="2024-05-25T00:00:00"/>
        <d v="2024-05-28T00:00:00"/>
        <d v="2024-05-13T00:00:00"/>
        <d v="2024-05-09T00:00:00"/>
        <d v="2024-05-07T00:00:00"/>
        <d v="2024-05-03T00:00:00"/>
        <d v="2024-05-08T00:00:00"/>
        <d v="2024-05-27T00:00:00"/>
        <d v="2024-05-17T00:00:00"/>
        <d v="2024-05-01T00:00:00"/>
        <d v="2024-05-15T00:00:00"/>
        <d v="2024-05-11T00:00:00"/>
        <d v="2024-05-16T00:00:00"/>
        <d v="2024-05-21T00:00:00"/>
        <d v="2024-06-07T00:00:00"/>
        <d v="2024-06-08T00:00:00"/>
        <d v="2024-06-12T00:00:00"/>
        <d v="2024-06-03T00:00:00"/>
        <d v="2024-06-21T00:00:00"/>
        <d v="2024-06-17T00:00:00"/>
        <d v="2024-06-10T00:00:00"/>
        <d v="2024-06-09T00:00:00"/>
        <d v="2024-06-11T00:00:00"/>
        <d v="2024-06-13T00:00:00"/>
        <d v="2024-06-25T00:00:00"/>
        <d v="2024-07-26T00:00:00"/>
        <d v="2024-07-08T00:00:00"/>
        <d v="2024-07-31T00:00:00"/>
        <d v="2024-07-01T00:00:00"/>
        <d v="2024-07-10T00:00:00"/>
        <d v="2024-07-18T00:00:00"/>
        <d v="2024-07-21T00:00:00"/>
        <d v="2024-07-27T00:00:00"/>
        <d v="2024-07-20T00:00:00"/>
        <d v="2024-07-06T00:00:00"/>
        <d v="2024-07-29T00:00:00"/>
        <d v="2024-07-16T00:00:00"/>
        <d v="2024-07-23T00:00:00"/>
        <d v="2024-07-14T00:00:00"/>
        <d v="2024-07-17T00:00:00"/>
        <d v="2024-08-29T00:00:00"/>
        <d v="2024-08-24T00:00:00"/>
        <d v="2024-08-31T00:00:00"/>
        <d v="2024-08-25T00:00:00"/>
        <d v="2024-08-19T00:00:00"/>
        <d v="2024-08-04T00:00:00"/>
        <d v="2024-08-23T00:00:00"/>
        <d v="2024-08-22T00:00:00"/>
        <d v="2024-08-18T00:00:00"/>
        <d v="2024-08-21T00:00:00"/>
        <d v="2024-08-14T00:00:00"/>
        <d v="2024-08-30T00:00:00"/>
        <d v="2024-08-01T00:00:00"/>
        <d v="2024-09-19T00:00:00"/>
        <d v="2024-09-18T00:00:00"/>
        <d v="2024-09-22T00:00:00"/>
        <d v="2024-09-09T00:00:00"/>
        <d v="2024-09-10T00:00:00"/>
        <d v="2024-09-02T00:00:00"/>
        <d v="2024-09-29T00:00:00"/>
        <d v="2024-09-12T00:00:00"/>
        <d v="2024-09-17T00:00:00"/>
        <d v="2024-09-26T00:00:00"/>
        <d v="2024-09-06T00:00:00"/>
        <d v="2024-10-29T00:00:00"/>
        <d v="2024-10-31T00:00:00"/>
        <d v="2024-10-17T00:00:00"/>
        <d v="2024-10-30T00:00:00"/>
        <d v="2024-10-24T00:00:00"/>
        <d v="2024-10-28T00:00:00"/>
        <d v="2024-10-14T00:00:00"/>
        <d v="2024-10-13T00:00:00"/>
        <d v="2024-10-12T00:00:00"/>
        <d v="2024-10-03T00:00:00"/>
        <d v="2024-10-09T00:00:00"/>
        <d v="2024-10-04T00:00:00"/>
        <d v="2024-10-15T00:00:00"/>
        <d v="2024-11-06T00:00:00"/>
        <d v="2024-11-23T00:00:00"/>
        <d v="2024-11-19T00:00:00"/>
        <d v="2024-11-07T00:00:00"/>
        <d v="2024-11-16T00:00:00"/>
        <d v="2024-11-03T00:00:00"/>
        <d v="2024-11-24T00:00:00"/>
        <d v="2024-11-09T00:00:00"/>
        <d v="2024-11-22T00:00:00"/>
        <d v="2024-12-10T00:00:00"/>
        <d v="2024-12-26T00:00:00"/>
        <d v="2024-12-08T00:00:00"/>
        <d v="2024-12-29T00:00:00"/>
        <d v="2024-12-01T00:00:00"/>
        <d v="2024-12-15T00:00:00"/>
        <d v="2024-12-18T00:00:00"/>
        <d v="2024-12-07T00:00:00"/>
        <d v="2024-12-19T00:00:00"/>
        <d v="2024-12-13T00:00:00"/>
        <d v="2024-12-06T00:00:00"/>
        <d v="2024-12-03T00:00:00"/>
        <d v="2024-12-31T00:00:00"/>
        <d v="2024-12-25T00:00:00"/>
        <d v="2024-12-16T00:00:00"/>
        <d v="2024-12-27T00:00:00"/>
        <d v="2024-12-21T00:00:00"/>
        <d v="2024-12-09T00:00:00"/>
        <d v="2025-01-31T00:00:00"/>
        <d v="2025-01-07T00:00:00"/>
        <d v="2025-01-12T00:00:00"/>
        <d v="2025-01-15T00:00:00"/>
        <d v="2025-01-24T00:00:00"/>
        <d v="2025-01-16T00:00:00"/>
        <d v="2025-01-20T00:00:00"/>
        <d v="2025-01-29T00:00:00"/>
        <d v="2025-01-27T00:00:00"/>
        <d v="2025-01-02T00:00:00"/>
        <d v="2025-01-04T00:00:00"/>
        <d v="2025-01-08T00:00:00"/>
        <d v="2025-01-05T00:00:00"/>
        <d v="2025-01-18T00:00:00"/>
        <d v="2025-01-25T00:00:00"/>
        <d v="2025-01-17T00:00:00"/>
        <d v="2025-01-10T00:00:00"/>
        <d v="2025-01-13T00:00:00"/>
        <d v="2025-02-10T00:00:00"/>
        <d v="2025-02-02T00:00:00"/>
        <d v="2025-02-22T00:00:00"/>
        <d v="2025-02-28T00:00:00"/>
        <d v="2025-02-09T00:00:00"/>
        <d v="2025-02-03T00:00:00"/>
        <d v="2025-02-23T00:00:00"/>
        <d v="2025-02-25T00:00:00"/>
        <d v="2025-02-08T00:00:00"/>
        <d v="2025-02-11T00:00:00"/>
        <d v="2025-02-17T00:00:00"/>
        <d v="2025-02-24T00:00:00"/>
        <d v="2025-02-16T00:00:00"/>
        <d v="2025-02-04T00:00:00"/>
        <d v="2025-02-26T00:00:00"/>
        <d v="2025-03-02T00:00:00"/>
        <d v="2025-03-30T00:00:00"/>
        <d v="2025-03-29T00:00:00"/>
        <d v="2025-03-20T00:00:00"/>
        <d v="2025-03-16T00:00:00"/>
        <d v="2025-03-03T00:00:00"/>
        <d v="2025-03-28T00:00:00"/>
        <d v="2025-03-21T00:00:00"/>
        <d v="2025-03-31T00:00:00"/>
        <d v="2025-03-24T00:00:00"/>
        <d v="2025-03-22T00:00:00"/>
        <d v="2025-03-11T00:00:00"/>
        <d v="2025-03-17T00:00:00"/>
        <d v="2025-03-07T00:00:00"/>
        <d v="2025-03-10T00:00:00"/>
        <d v="2025-04-14T00:00:00"/>
        <d v="2025-04-27T00:00:00"/>
        <d v="2025-04-03T00:00:00"/>
        <d v="2025-04-04T00:00:00"/>
        <d v="2025-04-25T00:00:00"/>
        <d v="2025-04-26T00:00:00"/>
        <d v="2025-04-11T00:00:00"/>
        <d v="2025-04-01T00:00:00"/>
        <d v="2025-04-09T00:00:00"/>
        <d v="2025-04-07T00:00:00"/>
        <d v="2025-04-05T00:00:00"/>
        <d v="2025-04-17T00:00:00"/>
        <d v="2025-04-20T00:00:00"/>
        <d v="2025-05-03T00:00:00"/>
        <d v="2025-05-08T00:00:00"/>
        <d v="2025-05-12T00:00:00"/>
        <d v="2025-05-23T00:00:00"/>
        <d v="2025-05-31T00:00:00"/>
        <d v="2025-05-29T00:00:00"/>
        <d v="2025-05-04T00:00:00"/>
        <d v="2025-05-24T00:00:00"/>
        <d v="2025-05-07T00:00:00"/>
        <d v="2025-05-11T00:00:00"/>
        <d v="2025-05-13T00:00:00"/>
        <d v="2025-05-02T00:00:00"/>
        <d v="2025-05-14T00:00:00"/>
        <d v="2025-05-30T00:00:00"/>
        <d v="2025-05-06T00:00:00"/>
        <d v="2025-06-04T00:00:00"/>
        <d v="2025-06-14T00:00:00"/>
        <d v="2025-06-20T00:00:00"/>
        <d v="2025-06-26T00:00:00"/>
        <d v="2025-06-02T00:00:00"/>
        <d v="2025-06-29T00:00:00"/>
        <d v="2025-06-23T00:00:00"/>
        <d v="2025-06-03T00:00:00"/>
        <d v="2025-06-06T00:00:00"/>
        <d v="2025-06-05T00:00:00"/>
        <d v="2025-06-17T00:00:00"/>
        <d v="2025-06-24T00:00:00"/>
        <d v="2025-06-19T00:00:00"/>
        <d v="2025-06-09T00:00:00"/>
        <d v="2025-06-25T00:00:00"/>
        <d v="2025-06-30T00:00:00"/>
        <d v="2025-06-12T00:00:00"/>
        <d v="2025-06-15T00:00:00"/>
        <d v="2025-07-28T00:00:00"/>
        <d v="2025-07-12T00:00:00"/>
        <d v="2025-07-07T00:00:00"/>
        <d v="2025-07-14T00:00:00"/>
        <d v="2025-07-31T00:00:00"/>
        <d v="2025-07-25T00:00:00"/>
        <d v="2025-07-16T00:00:00"/>
        <d v="2025-07-19T00:00:00"/>
        <d v="2025-07-01T00:00:00"/>
        <d v="2025-07-26T00:00:00"/>
        <d v="2025-07-24T00:00:00"/>
        <d v="2025-08-10T00:00:00"/>
        <d v="2025-08-07T00:00:00"/>
        <d v="2025-08-11T00:00:00"/>
        <d v="2025-08-27T00:00:00"/>
        <d v="2025-08-06T00:00:00"/>
        <d v="2025-08-03T00:00:00"/>
        <d v="2025-08-12T00:00:00"/>
        <d v="2025-08-16T00:00:00"/>
        <d v="2025-08-31T00:00:00"/>
        <d v="2025-08-20T00:00:00"/>
        <d v="2025-08-24T00:00:00"/>
        <d v="2025-08-09T00:00:00"/>
        <d v="2025-08-05T00:00:00"/>
        <d v="2025-08-04T00:00:00"/>
        <d v="2025-08-18T00:00:00"/>
        <d v="2025-08-15T00:00:00"/>
        <d v="2025-08-26T00:00:00"/>
        <d v="2025-08-23T00:00:00"/>
        <d v="2025-09-20T00:00:00"/>
        <d v="2025-09-10T00:00:00"/>
        <d v="2025-09-22T00:00:00"/>
        <d v="2025-09-28T00:00:00"/>
        <d v="2025-09-12T00:00:00"/>
        <d v="2025-09-05T00:00:00"/>
        <d v="2025-09-09T00:00:00"/>
        <d v="2025-09-24T00:00:00"/>
        <d v="2025-09-18T00:00:00"/>
        <d v="2025-09-21T00:00:00"/>
        <d v="2025-09-15T00:00:00"/>
        <d v="2025-09-16T00:00:00"/>
        <d v="2025-09-29T00:00:00"/>
        <d v="2025-09-03T00:00:00"/>
        <d v="2025-09-23T00:00:00"/>
        <d v="2025-09-30T00:00:00"/>
        <d v="2025-09-01T00:00:00"/>
        <d v="2025-09-02T00:00:00"/>
        <d v="2025-09-19T00:00:00"/>
        <d v="2025-10-26T00:00:00"/>
        <d v="2025-10-31T00:00:00"/>
        <d v="2025-10-05T00:00:00"/>
        <d v="2025-10-25T00:00:00"/>
        <d v="2025-10-22T00:00:00"/>
        <d v="2025-10-23T00:00:00"/>
        <d v="2025-10-11T00:00:00"/>
        <d v="2025-10-09T00:00:00"/>
        <d v="2025-10-18T00:00:00"/>
        <d v="2025-10-24T00:00:00"/>
        <d v="2025-10-03T00:00:00"/>
        <d v="2025-10-13T00:00:00"/>
        <d v="2025-10-08T00:00:00"/>
        <d v="2025-10-21T00:00:00"/>
        <d v="2025-10-02T00:00:00"/>
        <d v="2025-11-18T00:00:00"/>
        <d v="2025-11-12T00:00:00"/>
        <d v="2025-11-17T00:00:00"/>
        <d v="2025-11-03T00:00:00"/>
        <d v="2025-11-30T00:00:00"/>
        <d v="2025-11-08T00:00:00"/>
        <d v="2025-11-02T00:00:00"/>
        <d v="2025-11-20T00:00:00"/>
        <d v="2025-11-16T00:00:00"/>
        <d v="2025-11-26T00:00:00"/>
        <d v="2025-11-28T00:00:00"/>
        <d v="2025-11-10T00:00:00"/>
        <d v="2025-11-09T00:00:00"/>
        <d v="2025-12-04T00:00:00"/>
        <d v="2025-12-25T00:00:00"/>
        <d v="2025-12-11T00:00:00"/>
        <d v="2025-12-15T00:00:00"/>
        <d v="2025-12-26T00:00:00"/>
        <d v="2025-12-20T00:00:00"/>
        <d v="2025-12-08T00:00:00"/>
        <d v="2025-12-27T00:00:00"/>
        <d v="2025-12-03T00:00:00"/>
        <d v="2025-12-10T00:00:00"/>
        <d v="2026-01-13T00:00:00"/>
        <d v="2026-01-05T00:00:00"/>
        <d v="2026-01-20T00:00:00"/>
        <d v="2026-01-07T00:00:00"/>
        <d v="2026-01-18T00:00:00"/>
        <d v="2026-01-30T00:00:00"/>
        <d v="2026-01-11T00:00:00"/>
        <d v="2026-01-28T00:00:00"/>
        <d v="2026-01-09T00:00:00"/>
        <d v="2026-01-26T00:00:00"/>
        <d v="2026-01-12T00:00:00"/>
        <d v="2026-02-19T00:00:00"/>
        <d v="2026-02-21T00:00:00"/>
        <d v="2026-02-27T00:00:00"/>
        <d v="2026-02-25T00:00:00"/>
        <d v="2026-02-08T00:00:00"/>
        <d v="2026-02-14T00:00:00"/>
        <d v="2026-02-22T00:00:00"/>
        <d v="2026-02-16T00:00:00"/>
        <d v="2026-02-02T00:00:00"/>
        <d v="2026-02-23T00:00:00"/>
        <d v="2026-02-06T00:00:00"/>
        <d v="2026-02-11T00:00:00"/>
        <d v="2026-02-05T00:00:00"/>
        <d v="2026-02-28T00:00:00"/>
        <d v="2026-02-18T00:00:00"/>
        <d v="2026-02-04T00:00:00"/>
        <d v="2026-02-01T00:00:00"/>
        <d v="2026-02-20T00:00:00"/>
        <d v="2026-02-12T00:00:00"/>
        <d v="2026-03-24T00:00:00"/>
        <d v="2026-03-11T00:00:00"/>
        <d v="2026-03-26T00:00:00"/>
        <d v="2026-03-03T00:00:00"/>
        <d v="2026-03-15T00:00:00"/>
        <d v="2026-03-10T00:00:00"/>
        <d v="2026-03-30T00:00:00"/>
        <d v="2026-03-12T00:00:00"/>
        <d v="2026-03-02T00:00:00"/>
        <d v="2026-03-19T00:00:00"/>
        <d v="2026-04-30T00:00:00"/>
        <d v="2026-04-01T00:00:00"/>
        <d v="2026-04-07T00:00:00"/>
        <d v="2026-04-21T00:00:00"/>
        <d v="2026-04-14T00:00:00"/>
        <d v="2026-04-12T00:00:00"/>
        <d v="2026-04-25T00:00:00"/>
        <d v="2026-04-24T00:00:00"/>
        <d v="2026-04-15T00:00:00"/>
        <d v="2026-04-10T00:00:00"/>
        <d v="2026-04-16T00:00:00"/>
        <d v="2026-04-20T00:00:00"/>
        <d v="2026-05-16T00:00:00"/>
        <d v="2026-05-08T00:00:00"/>
        <d v="2026-05-06T00:00:00"/>
        <d v="2026-05-05T00:00:00"/>
        <d v="2026-05-09T00:00:00"/>
        <d v="2026-05-23T00:00:00"/>
        <d v="2026-05-20T00:00:00"/>
        <d v="2026-05-17T00:00:00"/>
        <d v="2026-05-25T00:00:00"/>
        <d v="2026-05-24T00:00:00"/>
        <d v="2026-05-02T00:00:00"/>
        <d v="2026-05-30T00:00:00"/>
        <d v="2026-06-09T00:00:00"/>
        <d v="2026-06-27T00:00:00"/>
        <d v="2026-06-05T00:00:00"/>
        <d v="2026-06-30T00:00:00"/>
        <d v="2026-06-17T00:00:00"/>
        <d v="2026-06-20T00:00:00"/>
        <d v="2026-06-01T00:00:00"/>
        <d v="2026-06-19T00:00:00"/>
        <d v="2026-06-10T00:00:00"/>
        <d v="2026-06-06T00:00:00"/>
        <d v="2026-06-18T00:00:00"/>
        <d v="2026-06-21T00:00:00"/>
        <d v="2026-06-24T00:00:00"/>
        <d v="2026-06-14T00:00:00"/>
        <d v="2026-06-13T00:00:00"/>
        <d v="2026-06-02T00:00:00"/>
        <d v="2026-07-05T00:00:00"/>
        <d v="2026-07-30T00:00:00"/>
        <d v="2026-07-03T00:00:00"/>
        <d v="2026-07-09T00:00:00"/>
        <d v="2026-07-19T00:00:00"/>
        <d v="2026-07-28T00:00:00"/>
        <d v="2026-07-24T00:00:00"/>
        <d v="2026-07-31T00:00:00"/>
        <d v="2026-07-11T00:00:00"/>
        <d v="2026-07-25T00:00:00"/>
        <d v="2026-07-20T00:00:00"/>
        <d v="2026-07-29T00:00:00"/>
        <d v="2026-07-15T00:00:00"/>
        <d v="2026-07-10T00:00:00"/>
        <d v="2026-07-14T00:00:00"/>
        <d v="2026-08-28T00:00:00"/>
        <d v="2026-08-25T00:00:00"/>
        <d v="2026-08-31T00:00:00"/>
        <d v="2026-08-19T00:00:00"/>
        <d v="2026-08-01T00:00:00"/>
        <d v="2026-08-21T00:00:00"/>
        <d v="2026-08-16T00:00:00"/>
        <d v="2026-08-09T00:00:00"/>
        <d v="2026-08-26T00:00:00"/>
        <d v="2026-08-13T00:00:00"/>
        <d v="2026-08-05T00:00:00"/>
        <d v="2026-08-02T00:00:00"/>
        <d v="2026-08-03T00:00:00"/>
        <d v="2026-08-20T00:00:00"/>
        <d v="2026-08-30T00:00:00"/>
        <d v="2026-08-11T00:00:00"/>
        <d v="2026-08-23T00:00:00"/>
        <d v="2026-08-17T00:00:00"/>
        <d v="2026-09-13T00:00:00"/>
        <d v="2026-09-27T00:00:00"/>
        <d v="2026-09-01T00:00:00"/>
        <d v="2026-09-10T00:00:00"/>
        <d v="2026-09-19T00:00:00"/>
        <d v="2026-09-14T00:00:00"/>
        <d v="2026-09-25T00:00:00"/>
        <d v="2026-09-06T00:00:00"/>
        <d v="2026-09-04T00:00:00"/>
        <d v="2026-09-20T00:00:00"/>
        <d v="2026-09-15T00:00:00"/>
        <d v="2026-09-09T00:00:00"/>
        <d v="2026-09-08T00:00:00"/>
        <d v="2026-09-21T00:00:00"/>
        <d v="2026-09-18T00:00:00"/>
        <d v="2026-09-11T00:00:00"/>
        <d v="2026-09-24T00:00:00"/>
        <d v="2026-10-21T00:00:00"/>
        <d v="2026-10-06T00:00:00"/>
        <d v="2026-10-23T00:00:00"/>
        <d v="2026-10-01T00:00:00"/>
        <d v="2026-10-11T00:00:00"/>
        <d v="2026-10-04T00:00:00"/>
        <d v="2026-10-02T00:00:00"/>
        <d v="2026-10-10T00:00:00"/>
        <d v="2026-10-13T00:00:00"/>
        <d v="2026-10-09T00:00:00"/>
        <d v="2026-10-27T00:00:00"/>
        <d v="2026-10-07T00:00:00"/>
        <d v="2026-10-30T00:00:00"/>
        <d v="2026-10-28T00:00:00"/>
        <d v="2026-10-18T00:00:00"/>
        <d v="2026-10-16T00:00:00"/>
        <d v="2026-10-08T00:00:00"/>
        <d v="2026-11-28T00:00:00"/>
        <d v="2026-11-15T00:00:00"/>
        <d v="2026-11-01T00:00:00"/>
        <d v="2026-11-14T00:00:00"/>
        <d v="2026-11-02T00:00:00"/>
        <d v="2026-11-06T00:00:00"/>
        <d v="2026-11-19T00:00:00"/>
        <d v="2026-11-03T00:00:00"/>
        <d v="2026-11-09T00:00:00"/>
        <d v="2026-12-12T00:00:00"/>
        <d v="2026-12-28T00:00:00"/>
        <d v="2026-12-24T00:00:00"/>
        <d v="2026-12-08T00:00:00"/>
        <d v="2026-12-19T00:00:00"/>
        <d v="2026-12-29T00:00:00"/>
        <d v="2026-12-26T00:00:00"/>
        <d v="2026-12-15T00:00:00"/>
        <d v="2026-12-22T00:00:00"/>
        <d v="2026-12-03T00:00:00"/>
        <d v="2026-12-25T00:00:00"/>
        <d v="2026-12-16T00:00:00"/>
        <d v="2026-12-14T00:00:00"/>
        <d v="2026-12-06T00:00:00"/>
        <d v="2026-12-27T00:00:00"/>
      </sharedItems>
    </cacheField>
    <cacheField name="Total revenue" numFmtId="164">
      <sharedItems containsSemiMixedTypes="0" containsString="0" containsNumber="1" containsInteger="1" minValue="10447536600" maxValue="10447536600"/>
    </cacheField>
    <cacheField name="Total profit" numFmtId="165">
      <sharedItems containsSemiMixedTypes="0" containsString="0" containsNumber="1" containsInteger="1" minValue="2099369250" maxValue="2099369250"/>
    </cacheField>
    <cacheField name="Total cost" numFmtId="165">
      <sharedItems containsSemiMixedTypes="0" containsString="0" containsNumber="1" containsInteger="1" minValue="8348167350" maxValue="8348167350"/>
    </cacheField>
    <cacheField name="Total unit sold" numFmtId="0">
      <sharedItems containsSemiMixedTypes="0" containsString="0" containsNumber="1" containsInteger="1" minValue="1017885" maxValue="1017885"/>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24" maxValue="2026" count="3">
        <n v="2024"/>
        <n v="2025"/>
        <n v="2026"/>
      </sharedItems>
    </cacheField>
  </cacheFields>
  <extLst>
    <ext xmlns:x14="http://schemas.microsoft.com/office/spreadsheetml/2009/9/main" uri="{725AE2AE-9491-48be-B2B4-4EB974FC3084}">
      <x14:pivotCacheDefinition pivotCacheId="1086788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n v="2275000"/>
    <n v="1911000"/>
    <n v="364000"/>
    <x v="0"/>
    <n v="10447536600"/>
    <n v="2099369250"/>
    <n v="8348167350"/>
    <n v="1017885"/>
    <x v="0"/>
    <x v="0"/>
  </r>
  <r>
    <x v="1"/>
    <x v="1"/>
    <x v="1"/>
    <n v="44445000"/>
    <n v="32593000"/>
    <n v="11852000"/>
    <x v="1"/>
    <n v="10447536600"/>
    <n v="2099369250"/>
    <n v="8348167350"/>
    <n v="1017885"/>
    <x v="0"/>
    <x v="0"/>
  </r>
  <r>
    <x v="2"/>
    <x v="2"/>
    <x v="2"/>
    <n v="2218800"/>
    <n v="1571650"/>
    <n v="647150"/>
    <x v="2"/>
    <n v="10447536600"/>
    <n v="2099369250"/>
    <n v="8348167350"/>
    <n v="1017885"/>
    <x v="0"/>
    <x v="0"/>
  </r>
  <r>
    <x v="3"/>
    <x v="3"/>
    <x v="3"/>
    <n v="8370000"/>
    <n v="7068000"/>
    <n v="1302000"/>
    <x v="3"/>
    <n v="10447536600"/>
    <n v="2099369250"/>
    <n v="8348167350"/>
    <n v="1017885"/>
    <x v="0"/>
    <x v="0"/>
  </r>
  <r>
    <x v="0"/>
    <x v="2"/>
    <x v="4"/>
    <n v="1492800"/>
    <n v="1057400"/>
    <n v="435400"/>
    <x v="4"/>
    <n v="10447536600"/>
    <n v="2099369250"/>
    <n v="8348167350"/>
    <n v="1017885"/>
    <x v="0"/>
    <x v="0"/>
  </r>
  <r>
    <x v="4"/>
    <x v="3"/>
    <x v="5"/>
    <n v="66060000"/>
    <n v="55784000"/>
    <n v="10276000"/>
    <x v="1"/>
    <n v="10447536600"/>
    <n v="2099369250"/>
    <n v="8348167350"/>
    <n v="1017885"/>
    <x v="0"/>
    <x v="0"/>
  </r>
  <r>
    <x v="5"/>
    <x v="4"/>
    <x v="6"/>
    <n v="2991000"/>
    <n v="1794600"/>
    <n v="1196400"/>
    <x v="2"/>
    <n v="10447536600"/>
    <n v="2099369250"/>
    <n v="8348167350"/>
    <n v="1017885"/>
    <x v="0"/>
    <x v="0"/>
  </r>
  <r>
    <x v="6"/>
    <x v="3"/>
    <x v="7"/>
    <n v="133920000"/>
    <n v="113088000"/>
    <n v="20832000"/>
    <x v="5"/>
    <n v="10447536600"/>
    <n v="2099369250"/>
    <n v="8348167350"/>
    <n v="1017885"/>
    <x v="0"/>
    <x v="0"/>
  </r>
  <r>
    <x v="7"/>
    <x v="3"/>
    <x v="8"/>
    <n v="67635000"/>
    <n v="57114000"/>
    <n v="10521000"/>
    <x v="6"/>
    <n v="10447536600"/>
    <n v="2099369250"/>
    <n v="8348167350"/>
    <n v="1017885"/>
    <x v="0"/>
    <x v="0"/>
  </r>
  <r>
    <x v="4"/>
    <x v="1"/>
    <x v="9"/>
    <n v="14505000"/>
    <n v="10637000"/>
    <n v="3868000"/>
    <x v="0"/>
    <n v="10447536600"/>
    <n v="2099369250"/>
    <n v="8348167350"/>
    <n v="1017885"/>
    <x v="0"/>
    <x v="0"/>
  </r>
  <r>
    <x v="2"/>
    <x v="5"/>
    <x v="10"/>
    <n v="2749200"/>
    <n v="1832800"/>
    <n v="916400"/>
    <x v="7"/>
    <n v="10447536600"/>
    <n v="2099369250"/>
    <n v="8348167350"/>
    <n v="1017885"/>
    <x v="0"/>
    <x v="0"/>
  </r>
  <r>
    <x v="4"/>
    <x v="4"/>
    <x v="11"/>
    <n v="5394000"/>
    <n v="3236400"/>
    <n v="2157600"/>
    <x v="0"/>
    <n v="10447536600"/>
    <n v="2099369250"/>
    <n v="8348167350"/>
    <n v="1017885"/>
    <x v="0"/>
    <x v="0"/>
  </r>
  <r>
    <x v="3"/>
    <x v="2"/>
    <x v="12"/>
    <n v="2107200"/>
    <n v="1492600"/>
    <n v="614600"/>
    <x v="2"/>
    <n v="10447536600"/>
    <n v="2099369250"/>
    <n v="8348167350"/>
    <n v="1017885"/>
    <x v="0"/>
    <x v="0"/>
  </r>
  <r>
    <x v="8"/>
    <x v="0"/>
    <x v="13"/>
    <n v="3345000"/>
    <n v="2809800"/>
    <n v="535200"/>
    <x v="8"/>
    <n v="10447536600"/>
    <n v="2099369250"/>
    <n v="8348167350"/>
    <n v="1017885"/>
    <x v="0"/>
    <x v="0"/>
  </r>
  <r>
    <x v="7"/>
    <x v="0"/>
    <x v="14"/>
    <n v="11080000"/>
    <n v="9307200"/>
    <n v="1772800"/>
    <x v="9"/>
    <n v="10447536600"/>
    <n v="2099369250"/>
    <n v="8348167350"/>
    <n v="1017885"/>
    <x v="0"/>
    <x v="0"/>
  </r>
  <r>
    <x v="8"/>
    <x v="5"/>
    <x v="15"/>
    <n v="3496800"/>
    <n v="2331200"/>
    <n v="1165600"/>
    <x v="10"/>
    <n v="10447536600"/>
    <n v="2099369250"/>
    <n v="8348167350"/>
    <n v="1017885"/>
    <x v="1"/>
    <x v="0"/>
  </r>
  <r>
    <x v="8"/>
    <x v="3"/>
    <x v="16"/>
    <n v="52290000"/>
    <n v="44156000"/>
    <n v="8134000"/>
    <x v="11"/>
    <n v="10447536600"/>
    <n v="2099369250"/>
    <n v="8348167350"/>
    <n v="1017885"/>
    <x v="1"/>
    <x v="0"/>
  </r>
  <r>
    <x v="5"/>
    <x v="0"/>
    <x v="17"/>
    <n v="3320000"/>
    <n v="2788800"/>
    <n v="531200"/>
    <x v="12"/>
    <n v="10447536600"/>
    <n v="2099369250"/>
    <n v="8348167350"/>
    <n v="1017885"/>
    <x v="1"/>
    <x v="0"/>
  </r>
  <r>
    <x v="6"/>
    <x v="4"/>
    <x v="18"/>
    <n v="1626000"/>
    <n v="975600"/>
    <n v="650400"/>
    <x v="13"/>
    <n v="10447536600"/>
    <n v="2099369250"/>
    <n v="8348167350"/>
    <n v="1017885"/>
    <x v="1"/>
    <x v="0"/>
  </r>
  <r>
    <x v="9"/>
    <x v="3"/>
    <x v="19"/>
    <n v="108945000"/>
    <n v="91998000"/>
    <n v="16947000"/>
    <x v="12"/>
    <n v="10447536600"/>
    <n v="2099369250"/>
    <n v="8348167350"/>
    <n v="1017885"/>
    <x v="1"/>
    <x v="0"/>
  </r>
  <r>
    <x v="0"/>
    <x v="1"/>
    <x v="20"/>
    <n v="900000"/>
    <n v="660000"/>
    <n v="240000"/>
    <x v="14"/>
    <n v="10447536600"/>
    <n v="2099369250"/>
    <n v="8348167350"/>
    <n v="1017885"/>
    <x v="1"/>
    <x v="0"/>
  </r>
  <r>
    <x v="2"/>
    <x v="6"/>
    <x v="21"/>
    <n v="8246000"/>
    <n v="6125600"/>
    <n v="2120400"/>
    <x v="15"/>
    <n v="10447536600"/>
    <n v="2099369250"/>
    <n v="8348167350"/>
    <n v="1017885"/>
    <x v="1"/>
    <x v="0"/>
  </r>
  <r>
    <x v="9"/>
    <x v="3"/>
    <x v="22"/>
    <n v="46485000"/>
    <n v="39254000"/>
    <n v="7231000"/>
    <x v="16"/>
    <n v="10447536600"/>
    <n v="2099369250"/>
    <n v="8348167350"/>
    <n v="1017885"/>
    <x v="1"/>
    <x v="0"/>
  </r>
  <r>
    <x v="0"/>
    <x v="6"/>
    <x v="23"/>
    <n v="840000"/>
    <n v="624000"/>
    <n v="216000"/>
    <x v="10"/>
    <n v="10447536600"/>
    <n v="2099369250"/>
    <n v="8348167350"/>
    <n v="1017885"/>
    <x v="1"/>
    <x v="0"/>
  </r>
  <r>
    <x v="3"/>
    <x v="2"/>
    <x v="24"/>
    <n v="1752000"/>
    <n v="1241000"/>
    <n v="511000"/>
    <x v="10"/>
    <n v="10447536600"/>
    <n v="2099369250"/>
    <n v="8348167350"/>
    <n v="1017885"/>
    <x v="1"/>
    <x v="0"/>
  </r>
  <r>
    <x v="4"/>
    <x v="5"/>
    <x v="25"/>
    <n v="1940400"/>
    <n v="1293600"/>
    <n v="646800"/>
    <x v="17"/>
    <n v="10447536600"/>
    <n v="2099369250"/>
    <n v="8348167350"/>
    <n v="1017885"/>
    <x v="1"/>
    <x v="0"/>
  </r>
  <r>
    <x v="3"/>
    <x v="1"/>
    <x v="26"/>
    <n v="32760000"/>
    <n v="24024000"/>
    <n v="8736000"/>
    <x v="18"/>
    <n v="10447536600"/>
    <n v="2099369250"/>
    <n v="8348167350"/>
    <n v="1017885"/>
    <x v="1"/>
    <x v="0"/>
  </r>
  <r>
    <x v="8"/>
    <x v="5"/>
    <x v="27"/>
    <n v="100800"/>
    <n v="67200"/>
    <n v="33600"/>
    <x v="19"/>
    <n v="10447536600"/>
    <n v="2099369250"/>
    <n v="8348167350"/>
    <n v="1017885"/>
    <x v="1"/>
    <x v="0"/>
  </r>
  <r>
    <x v="2"/>
    <x v="0"/>
    <x v="28"/>
    <n v="1175000"/>
    <n v="987000"/>
    <n v="188000"/>
    <x v="13"/>
    <n v="10447536600"/>
    <n v="2099369250"/>
    <n v="8348167350"/>
    <n v="1017885"/>
    <x v="1"/>
    <x v="0"/>
  </r>
  <r>
    <x v="0"/>
    <x v="6"/>
    <x v="29"/>
    <n v="9971500"/>
    <n v="7407400"/>
    <n v="2564100"/>
    <x v="20"/>
    <n v="10447536600"/>
    <n v="2099369250"/>
    <n v="8348167350"/>
    <n v="1017885"/>
    <x v="1"/>
    <x v="0"/>
  </r>
  <r>
    <x v="7"/>
    <x v="4"/>
    <x v="30"/>
    <n v="3018000"/>
    <n v="1810800"/>
    <n v="1207200"/>
    <x v="10"/>
    <n v="10447536600"/>
    <n v="2099369250"/>
    <n v="8348167350"/>
    <n v="1017885"/>
    <x v="1"/>
    <x v="0"/>
  </r>
  <r>
    <x v="0"/>
    <x v="3"/>
    <x v="31"/>
    <n v="105255000"/>
    <n v="88882000"/>
    <n v="16373000"/>
    <x v="21"/>
    <n v="10447536600"/>
    <n v="2099369250"/>
    <n v="8348167350"/>
    <n v="1017885"/>
    <x v="1"/>
    <x v="0"/>
  </r>
  <r>
    <x v="3"/>
    <x v="2"/>
    <x v="32"/>
    <n v="3411600"/>
    <n v="2416550"/>
    <n v="995050"/>
    <x v="14"/>
    <n v="10447536600"/>
    <n v="2099369250"/>
    <n v="8348167350"/>
    <n v="1017885"/>
    <x v="1"/>
    <x v="0"/>
  </r>
  <r>
    <x v="5"/>
    <x v="4"/>
    <x v="33"/>
    <n v="8193000"/>
    <n v="4915800"/>
    <n v="3277200"/>
    <x v="22"/>
    <n v="10447536600"/>
    <n v="2099369250"/>
    <n v="8348167350"/>
    <n v="1017885"/>
    <x v="2"/>
    <x v="0"/>
  </r>
  <r>
    <x v="2"/>
    <x v="4"/>
    <x v="34"/>
    <n v="540000"/>
    <n v="324000"/>
    <n v="216000"/>
    <x v="23"/>
    <n v="10447536600"/>
    <n v="2099369250"/>
    <n v="8348167350"/>
    <n v="1017885"/>
    <x v="2"/>
    <x v="0"/>
  </r>
  <r>
    <x v="9"/>
    <x v="6"/>
    <x v="35"/>
    <n v="5498500"/>
    <n v="4084600"/>
    <n v="1413900"/>
    <x v="24"/>
    <n v="10447536600"/>
    <n v="2099369250"/>
    <n v="8348167350"/>
    <n v="1017885"/>
    <x v="2"/>
    <x v="0"/>
  </r>
  <r>
    <x v="8"/>
    <x v="4"/>
    <x v="36"/>
    <n v="1026000"/>
    <n v="615600"/>
    <n v="410400"/>
    <x v="25"/>
    <n v="10447536600"/>
    <n v="2099369250"/>
    <n v="8348167350"/>
    <n v="1017885"/>
    <x v="2"/>
    <x v="0"/>
  </r>
  <r>
    <x v="9"/>
    <x v="5"/>
    <x v="37"/>
    <n v="1027200"/>
    <n v="684800"/>
    <n v="342400"/>
    <x v="26"/>
    <n v="10447536600"/>
    <n v="2099369250"/>
    <n v="8348167350"/>
    <n v="1017885"/>
    <x v="2"/>
    <x v="0"/>
  </r>
  <r>
    <x v="3"/>
    <x v="0"/>
    <x v="38"/>
    <n v="4815000"/>
    <n v="4044600"/>
    <n v="770400"/>
    <x v="25"/>
    <n v="10447536600"/>
    <n v="2099369250"/>
    <n v="8348167350"/>
    <n v="1017885"/>
    <x v="2"/>
    <x v="0"/>
  </r>
  <r>
    <x v="3"/>
    <x v="0"/>
    <x v="39"/>
    <n v="12265000"/>
    <n v="10302600"/>
    <n v="1962400"/>
    <x v="27"/>
    <n v="10447536600"/>
    <n v="2099369250"/>
    <n v="8348167350"/>
    <n v="1017885"/>
    <x v="2"/>
    <x v="0"/>
  </r>
  <r>
    <x v="8"/>
    <x v="3"/>
    <x v="40"/>
    <n v="46710000"/>
    <n v="39444000"/>
    <n v="7266000"/>
    <x v="28"/>
    <n v="10447536600"/>
    <n v="2099369250"/>
    <n v="8348167350"/>
    <n v="1017885"/>
    <x v="2"/>
    <x v="0"/>
  </r>
  <r>
    <x v="1"/>
    <x v="0"/>
    <x v="41"/>
    <n v="8800000"/>
    <n v="7392000"/>
    <n v="1408000"/>
    <x v="29"/>
    <n v="10447536600"/>
    <n v="2099369250"/>
    <n v="8348167350"/>
    <n v="1017885"/>
    <x v="2"/>
    <x v="0"/>
  </r>
  <r>
    <x v="4"/>
    <x v="0"/>
    <x v="42"/>
    <n v="12000000"/>
    <n v="10080000"/>
    <n v="1920000"/>
    <x v="30"/>
    <n v="10447536600"/>
    <n v="2099369250"/>
    <n v="8348167350"/>
    <n v="1017885"/>
    <x v="2"/>
    <x v="0"/>
  </r>
  <r>
    <x v="2"/>
    <x v="2"/>
    <x v="43"/>
    <n v="2431200"/>
    <n v="1722100"/>
    <n v="709100"/>
    <x v="30"/>
    <n v="10447536600"/>
    <n v="2099369250"/>
    <n v="8348167350"/>
    <n v="1017885"/>
    <x v="2"/>
    <x v="0"/>
  </r>
  <r>
    <x v="8"/>
    <x v="2"/>
    <x v="44"/>
    <n v="2511600"/>
    <n v="1779050"/>
    <n v="732550"/>
    <x v="31"/>
    <n v="10447536600"/>
    <n v="2099369250"/>
    <n v="8348167350"/>
    <n v="1017885"/>
    <x v="2"/>
    <x v="0"/>
  </r>
  <r>
    <x v="8"/>
    <x v="1"/>
    <x v="45"/>
    <n v="23775000"/>
    <n v="17435000"/>
    <n v="6340000"/>
    <x v="32"/>
    <n v="10447536600"/>
    <n v="2099369250"/>
    <n v="8348167350"/>
    <n v="1017885"/>
    <x v="2"/>
    <x v="0"/>
  </r>
  <r>
    <x v="3"/>
    <x v="1"/>
    <x v="46"/>
    <n v="36480000"/>
    <n v="26752000"/>
    <n v="9728000"/>
    <x v="33"/>
    <n v="10447536600"/>
    <n v="2099369250"/>
    <n v="8348167350"/>
    <n v="1017885"/>
    <x v="2"/>
    <x v="0"/>
  </r>
  <r>
    <x v="5"/>
    <x v="1"/>
    <x v="47"/>
    <n v="33720000"/>
    <n v="24728000"/>
    <n v="8992000"/>
    <x v="29"/>
    <n v="10447536600"/>
    <n v="2099369250"/>
    <n v="8348167350"/>
    <n v="1017885"/>
    <x v="2"/>
    <x v="0"/>
  </r>
  <r>
    <x v="9"/>
    <x v="4"/>
    <x v="48"/>
    <n v="4242000"/>
    <n v="2545200"/>
    <n v="1696800"/>
    <x v="34"/>
    <n v="10447536600"/>
    <n v="2099369250"/>
    <n v="8348167350"/>
    <n v="1017885"/>
    <x v="2"/>
    <x v="0"/>
  </r>
  <r>
    <x v="9"/>
    <x v="5"/>
    <x v="49"/>
    <n v="2274000"/>
    <n v="1516000"/>
    <n v="758000"/>
    <x v="35"/>
    <n v="10447536600"/>
    <n v="2099369250"/>
    <n v="8348167350"/>
    <n v="1017885"/>
    <x v="3"/>
    <x v="0"/>
  </r>
  <r>
    <x v="4"/>
    <x v="1"/>
    <x v="50"/>
    <n v="25710000"/>
    <n v="18854000"/>
    <n v="6856000"/>
    <x v="36"/>
    <n v="10447536600"/>
    <n v="2099369250"/>
    <n v="8348167350"/>
    <n v="1017885"/>
    <x v="3"/>
    <x v="0"/>
  </r>
  <r>
    <x v="0"/>
    <x v="3"/>
    <x v="51"/>
    <n v="17280000"/>
    <n v="14592000"/>
    <n v="2688000"/>
    <x v="37"/>
    <n v="10447536600"/>
    <n v="2099369250"/>
    <n v="8348167350"/>
    <n v="1017885"/>
    <x v="3"/>
    <x v="0"/>
  </r>
  <r>
    <x v="9"/>
    <x v="0"/>
    <x v="52"/>
    <n v="8220000"/>
    <n v="6904800"/>
    <n v="1315200"/>
    <x v="38"/>
    <n v="10447536600"/>
    <n v="2099369250"/>
    <n v="8348167350"/>
    <n v="1017885"/>
    <x v="3"/>
    <x v="0"/>
  </r>
  <r>
    <x v="2"/>
    <x v="6"/>
    <x v="53"/>
    <n v="6940500"/>
    <n v="5155800"/>
    <n v="1784700"/>
    <x v="35"/>
    <n v="10447536600"/>
    <n v="2099369250"/>
    <n v="8348167350"/>
    <n v="1017885"/>
    <x v="3"/>
    <x v="0"/>
  </r>
  <r>
    <x v="7"/>
    <x v="5"/>
    <x v="54"/>
    <n v="2935200"/>
    <n v="1956800"/>
    <n v="978400"/>
    <x v="39"/>
    <n v="10447536600"/>
    <n v="2099369250"/>
    <n v="8348167350"/>
    <n v="1017885"/>
    <x v="3"/>
    <x v="0"/>
  </r>
  <r>
    <x v="9"/>
    <x v="6"/>
    <x v="55"/>
    <n v="6139000"/>
    <n v="4560400"/>
    <n v="1578600"/>
    <x v="40"/>
    <n v="10447536600"/>
    <n v="2099369250"/>
    <n v="8348167350"/>
    <n v="1017885"/>
    <x v="3"/>
    <x v="0"/>
  </r>
  <r>
    <x v="9"/>
    <x v="0"/>
    <x v="56"/>
    <n v="5930000"/>
    <n v="4981200"/>
    <n v="948800"/>
    <x v="41"/>
    <n v="10447536600"/>
    <n v="2099369250"/>
    <n v="8348167350"/>
    <n v="1017885"/>
    <x v="3"/>
    <x v="0"/>
  </r>
  <r>
    <x v="4"/>
    <x v="3"/>
    <x v="57"/>
    <n v="62955000"/>
    <n v="53162000"/>
    <n v="9793000"/>
    <x v="40"/>
    <n v="10447536600"/>
    <n v="2099369250"/>
    <n v="8348167350"/>
    <n v="1017885"/>
    <x v="3"/>
    <x v="0"/>
  </r>
  <r>
    <x v="7"/>
    <x v="6"/>
    <x v="58"/>
    <n v="273000"/>
    <n v="202800"/>
    <n v="70200"/>
    <x v="42"/>
    <n v="10447536600"/>
    <n v="2099369250"/>
    <n v="8348167350"/>
    <n v="1017885"/>
    <x v="3"/>
    <x v="0"/>
  </r>
  <r>
    <x v="8"/>
    <x v="0"/>
    <x v="59"/>
    <n v="4590000"/>
    <n v="3855600"/>
    <n v="734400"/>
    <x v="41"/>
    <n v="10447536600"/>
    <n v="2099369250"/>
    <n v="8348167350"/>
    <n v="1017885"/>
    <x v="3"/>
    <x v="0"/>
  </r>
  <r>
    <x v="0"/>
    <x v="4"/>
    <x v="60"/>
    <n v="1728000"/>
    <n v="1036800"/>
    <n v="691200"/>
    <x v="43"/>
    <n v="10447536600"/>
    <n v="2099369250"/>
    <n v="8348167350"/>
    <n v="1017885"/>
    <x v="3"/>
    <x v="0"/>
  </r>
  <r>
    <x v="1"/>
    <x v="6"/>
    <x v="61"/>
    <n v="5036500"/>
    <n v="3741400"/>
    <n v="1295100"/>
    <x v="44"/>
    <n v="10447536600"/>
    <n v="2099369250"/>
    <n v="8348167350"/>
    <n v="1017885"/>
    <x v="3"/>
    <x v="0"/>
  </r>
  <r>
    <x v="9"/>
    <x v="1"/>
    <x v="62"/>
    <n v="26385000"/>
    <n v="19349000"/>
    <n v="7036000"/>
    <x v="45"/>
    <n v="10447536600"/>
    <n v="2099369250"/>
    <n v="8348167350"/>
    <n v="1017885"/>
    <x v="3"/>
    <x v="0"/>
  </r>
  <r>
    <x v="2"/>
    <x v="4"/>
    <x v="63"/>
    <n v="8613000"/>
    <n v="5167800"/>
    <n v="3445200"/>
    <x v="46"/>
    <n v="10447536600"/>
    <n v="2099369250"/>
    <n v="8348167350"/>
    <n v="1017885"/>
    <x v="3"/>
    <x v="0"/>
  </r>
  <r>
    <x v="3"/>
    <x v="1"/>
    <x v="64"/>
    <n v="31815000"/>
    <n v="23331000"/>
    <n v="8484000"/>
    <x v="44"/>
    <n v="10447536600"/>
    <n v="2099369250"/>
    <n v="8348167350"/>
    <n v="1017885"/>
    <x v="3"/>
    <x v="0"/>
  </r>
  <r>
    <x v="7"/>
    <x v="0"/>
    <x v="65"/>
    <n v="5660000"/>
    <n v="4754400"/>
    <n v="905600"/>
    <x v="47"/>
    <n v="10447536600"/>
    <n v="2099369250"/>
    <n v="8348167350"/>
    <n v="1017885"/>
    <x v="3"/>
    <x v="0"/>
  </r>
  <r>
    <x v="5"/>
    <x v="0"/>
    <x v="66"/>
    <n v="11490000"/>
    <n v="9651600"/>
    <n v="1838400"/>
    <x v="48"/>
    <n v="10447536600"/>
    <n v="2099369250"/>
    <n v="8348167350"/>
    <n v="1017885"/>
    <x v="4"/>
    <x v="0"/>
  </r>
  <r>
    <x v="0"/>
    <x v="6"/>
    <x v="67"/>
    <n v="5638500"/>
    <n v="4188600"/>
    <n v="1449900"/>
    <x v="49"/>
    <n v="10447536600"/>
    <n v="2099369250"/>
    <n v="8348167350"/>
    <n v="1017885"/>
    <x v="4"/>
    <x v="0"/>
  </r>
  <r>
    <x v="9"/>
    <x v="4"/>
    <x v="68"/>
    <n v="8151000"/>
    <n v="4890600"/>
    <n v="3260400"/>
    <x v="49"/>
    <n v="10447536600"/>
    <n v="2099369250"/>
    <n v="8348167350"/>
    <n v="1017885"/>
    <x v="4"/>
    <x v="0"/>
  </r>
  <r>
    <x v="9"/>
    <x v="5"/>
    <x v="69"/>
    <n v="1706400"/>
    <n v="1137600"/>
    <n v="568800"/>
    <x v="50"/>
    <n v="10447536600"/>
    <n v="2099369250"/>
    <n v="8348167350"/>
    <n v="1017885"/>
    <x v="4"/>
    <x v="0"/>
  </r>
  <r>
    <x v="0"/>
    <x v="1"/>
    <x v="70"/>
    <n v="11820000"/>
    <n v="8668000"/>
    <n v="3152000"/>
    <x v="51"/>
    <n v="10447536600"/>
    <n v="2099369250"/>
    <n v="8348167350"/>
    <n v="1017885"/>
    <x v="4"/>
    <x v="0"/>
  </r>
  <r>
    <x v="3"/>
    <x v="6"/>
    <x v="71"/>
    <n v="3458000"/>
    <n v="2568800"/>
    <n v="889200"/>
    <x v="52"/>
    <n v="10447536600"/>
    <n v="2099369250"/>
    <n v="8348167350"/>
    <n v="1017885"/>
    <x v="4"/>
    <x v="0"/>
  </r>
  <r>
    <x v="1"/>
    <x v="2"/>
    <x v="72"/>
    <n v="3344400"/>
    <n v="2368950"/>
    <n v="975450"/>
    <x v="52"/>
    <n v="10447536600"/>
    <n v="2099369250"/>
    <n v="8348167350"/>
    <n v="1017885"/>
    <x v="4"/>
    <x v="0"/>
  </r>
  <r>
    <x v="8"/>
    <x v="6"/>
    <x v="73"/>
    <n v="1995000"/>
    <n v="1482000"/>
    <n v="513000"/>
    <x v="48"/>
    <n v="10447536600"/>
    <n v="2099369250"/>
    <n v="8348167350"/>
    <n v="1017885"/>
    <x v="4"/>
    <x v="0"/>
  </r>
  <r>
    <x v="6"/>
    <x v="3"/>
    <x v="74"/>
    <n v="109125000"/>
    <n v="92150000"/>
    <n v="16975000"/>
    <x v="53"/>
    <n v="10447536600"/>
    <n v="2099369250"/>
    <n v="8348167350"/>
    <n v="1017885"/>
    <x v="4"/>
    <x v="0"/>
  </r>
  <r>
    <x v="2"/>
    <x v="2"/>
    <x v="75"/>
    <n v="1014000"/>
    <n v="718250"/>
    <n v="295750"/>
    <x v="54"/>
    <n v="10447536600"/>
    <n v="2099369250"/>
    <n v="8348167350"/>
    <n v="1017885"/>
    <x v="4"/>
    <x v="0"/>
  </r>
  <r>
    <x v="0"/>
    <x v="4"/>
    <x v="76"/>
    <n v="8739000"/>
    <n v="5243400"/>
    <n v="3495600"/>
    <x v="55"/>
    <n v="10447536600"/>
    <n v="2099369250"/>
    <n v="8348167350"/>
    <n v="1017885"/>
    <x v="4"/>
    <x v="0"/>
  </r>
  <r>
    <x v="1"/>
    <x v="1"/>
    <x v="77"/>
    <n v="9570000"/>
    <n v="7018000"/>
    <n v="2552000"/>
    <x v="52"/>
    <n v="10447536600"/>
    <n v="2099369250"/>
    <n v="8348167350"/>
    <n v="1017885"/>
    <x v="4"/>
    <x v="0"/>
  </r>
  <r>
    <x v="3"/>
    <x v="6"/>
    <x v="1"/>
    <n v="10370500"/>
    <n v="7703800"/>
    <n v="2666700"/>
    <x v="56"/>
    <n v="10447536600"/>
    <n v="2099369250"/>
    <n v="8348167350"/>
    <n v="1017885"/>
    <x v="4"/>
    <x v="0"/>
  </r>
  <r>
    <x v="8"/>
    <x v="1"/>
    <x v="78"/>
    <n v="9285000"/>
    <n v="6809000"/>
    <n v="2476000"/>
    <x v="57"/>
    <n v="10447536600"/>
    <n v="2099369250"/>
    <n v="8348167350"/>
    <n v="1017885"/>
    <x v="4"/>
    <x v="0"/>
  </r>
  <r>
    <x v="9"/>
    <x v="4"/>
    <x v="79"/>
    <n v="6090000"/>
    <n v="3654000"/>
    <n v="2436000"/>
    <x v="58"/>
    <n v="10447536600"/>
    <n v="2099369250"/>
    <n v="8348167350"/>
    <n v="1017885"/>
    <x v="4"/>
    <x v="0"/>
  </r>
  <r>
    <x v="2"/>
    <x v="6"/>
    <x v="80"/>
    <n v="1991500"/>
    <n v="1479400"/>
    <n v="512100"/>
    <x v="59"/>
    <n v="10447536600"/>
    <n v="2099369250"/>
    <n v="8348167350"/>
    <n v="1017885"/>
    <x v="4"/>
    <x v="0"/>
  </r>
  <r>
    <x v="8"/>
    <x v="2"/>
    <x v="81"/>
    <n v="1570800"/>
    <n v="1112650"/>
    <n v="458150"/>
    <x v="52"/>
    <n v="10447536600"/>
    <n v="2099369250"/>
    <n v="8348167350"/>
    <n v="1017885"/>
    <x v="4"/>
    <x v="0"/>
  </r>
  <r>
    <x v="3"/>
    <x v="3"/>
    <x v="82"/>
    <n v="5445000"/>
    <n v="4598000"/>
    <n v="847000"/>
    <x v="56"/>
    <n v="10447536600"/>
    <n v="2099369250"/>
    <n v="8348167350"/>
    <n v="1017885"/>
    <x v="4"/>
    <x v="0"/>
  </r>
  <r>
    <x v="5"/>
    <x v="0"/>
    <x v="83"/>
    <n v="1075000"/>
    <n v="903000"/>
    <n v="172000"/>
    <x v="60"/>
    <n v="10447536600"/>
    <n v="2099369250"/>
    <n v="8348167350"/>
    <n v="1017885"/>
    <x v="4"/>
    <x v="0"/>
  </r>
  <r>
    <x v="4"/>
    <x v="4"/>
    <x v="84"/>
    <n v="8694000"/>
    <n v="5216400"/>
    <n v="3477600"/>
    <x v="52"/>
    <n v="10447536600"/>
    <n v="2099369250"/>
    <n v="8348167350"/>
    <n v="1017885"/>
    <x v="4"/>
    <x v="0"/>
  </r>
  <r>
    <x v="6"/>
    <x v="1"/>
    <x v="85"/>
    <n v="33285000"/>
    <n v="24409000"/>
    <n v="8876000"/>
    <x v="61"/>
    <n v="10447536600"/>
    <n v="2099369250"/>
    <n v="8348167350"/>
    <n v="1017885"/>
    <x v="4"/>
    <x v="0"/>
  </r>
  <r>
    <x v="8"/>
    <x v="1"/>
    <x v="86"/>
    <n v="2325000"/>
    <n v="1705000"/>
    <n v="620000"/>
    <x v="57"/>
    <n v="10447536600"/>
    <n v="2099369250"/>
    <n v="8348167350"/>
    <n v="1017885"/>
    <x v="4"/>
    <x v="0"/>
  </r>
  <r>
    <x v="6"/>
    <x v="4"/>
    <x v="87"/>
    <n v="2847000"/>
    <n v="1708200"/>
    <n v="1138800"/>
    <x v="62"/>
    <n v="10447536600"/>
    <n v="2099369250"/>
    <n v="8348167350"/>
    <n v="1017885"/>
    <x v="4"/>
    <x v="0"/>
  </r>
  <r>
    <x v="8"/>
    <x v="4"/>
    <x v="88"/>
    <n v="8025000"/>
    <n v="4815000"/>
    <n v="3210000"/>
    <x v="56"/>
    <n v="10447536600"/>
    <n v="2099369250"/>
    <n v="8348167350"/>
    <n v="1017885"/>
    <x v="4"/>
    <x v="0"/>
  </r>
  <r>
    <x v="5"/>
    <x v="4"/>
    <x v="89"/>
    <n v="4473000"/>
    <n v="2683800"/>
    <n v="1789200"/>
    <x v="63"/>
    <n v="10447536600"/>
    <n v="2099369250"/>
    <n v="8348167350"/>
    <n v="1017885"/>
    <x v="4"/>
    <x v="0"/>
  </r>
  <r>
    <x v="1"/>
    <x v="4"/>
    <x v="90"/>
    <n v="4332000"/>
    <n v="2599200"/>
    <n v="1732800"/>
    <x v="59"/>
    <n v="10447536600"/>
    <n v="2099369250"/>
    <n v="8348167350"/>
    <n v="1017885"/>
    <x v="4"/>
    <x v="0"/>
  </r>
  <r>
    <x v="0"/>
    <x v="3"/>
    <x v="91"/>
    <n v="59850000"/>
    <n v="50540000"/>
    <n v="9310000"/>
    <x v="64"/>
    <n v="10447536600"/>
    <n v="2099369250"/>
    <n v="8348167350"/>
    <n v="1017885"/>
    <x v="4"/>
    <x v="0"/>
  </r>
  <r>
    <x v="6"/>
    <x v="3"/>
    <x v="92"/>
    <n v="121095000"/>
    <n v="102258000"/>
    <n v="18837000"/>
    <x v="65"/>
    <n v="10447536600"/>
    <n v="2099369250"/>
    <n v="8348167350"/>
    <n v="1017885"/>
    <x v="5"/>
    <x v="0"/>
  </r>
  <r>
    <x v="4"/>
    <x v="0"/>
    <x v="93"/>
    <n v="10790000"/>
    <n v="9063600"/>
    <n v="1726400"/>
    <x v="66"/>
    <n v="10447536600"/>
    <n v="2099369250"/>
    <n v="8348167350"/>
    <n v="1017885"/>
    <x v="5"/>
    <x v="0"/>
  </r>
  <r>
    <x v="1"/>
    <x v="5"/>
    <x v="94"/>
    <n v="440400"/>
    <n v="293600"/>
    <n v="146800"/>
    <x v="67"/>
    <n v="10447536600"/>
    <n v="2099369250"/>
    <n v="8348167350"/>
    <n v="1017885"/>
    <x v="5"/>
    <x v="0"/>
  </r>
  <r>
    <x v="3"/>
    <x v="5"/>
    <x v="95"/>
    <n v="1268400"/>
    <n v="845600"/>
    <n v="422800"/>
    <x v="68"/>
    <n v="10447536600"/>
    <n v="2099369250"/>
    <n v="8348167350"/>
    <n v="1017885"/>
    <x v="5"/>
    <x v="0"/>
  </r>
  <r>
    <x v="6"/>
    <x v="6"/>
    <x v="96"/>
    <n v="2730000"/>
    <n v="2028000"/>
    <n v="702000"/>
    <x v="69"/>
    <n v="10447536600"/>
    <n v="2099369250"/>
    <n v="8348167350"/>
    <n v="1017885"/>
    <x v="5"/>
    <x v="0"/>
  </r>
  <r>
    <x v="5"/>
    <x v="1"/>
    <x v="97"/>
    <n v="16350000"/>
    <n v="11990000"/>
    <n v="4360000"/>
    <x v="67"/>
    <n v="10447536600"/>
    <n v="2099369250"/>
    <n v="8348167350"/>
    <n v="1017885"/>
    <x v="5"/>
    <x v="0"/>
  </r>
  <r>
    <x v="7"/>
    <x v="5"/>
    <x v="98"/>
    <n v="1930800"/>
    <n v="1287200"/>
    <n v="643600"/>
    <x v="70"/>
    <n v="10447536600"/>
    <n v="2099369250"/>
    <n v="8348167350"/>
    <n v="1017885"/>
    <x v="5"/>
    <x v="0"/>
  </r>
  <r>
    <x v="9"/>
    <x v="4"/>
    <x v="99"/>
    <n v="3198000"/>
    <n v="1918800"/>
    <n v="1279200"/>
    <x v="66"/>
    <n v="10447536600"/>
    <n v="2099369250"/>
    <n v="8348167350"/>
    <n v="1017885"/>
    <x v="5"/>
    <x v="0"/>
  </r>
  <r>
    <x v="4"/>
    <x v="6"/>
    <x v="65"/>
    <n v="3962000"/>
    <n v="2943200"/>
    <n v="1018800"/>
    <x v="71"/>
    <n v="10447536600"/>
    <n v="2099369250"/>
    <n v="8348167350"/>
    <n v="1017885"/>
    <x v="5"/>
    <x v="0"/>
  </r>
  <r>
    <x v="8"/>
    <x v="3"/>
    <x v="100"/>
    <n v="36180000"/>
    <n v="30552000"/>
    <n v="5628000"/>
    <x v="65"/>
    <n v="10447536600"/>
    <n v="2099369250"/>
    <n v="8348167350"/>
    <n v="1017885"/>
    <x v="5"/>
    <x v="0"/>
  </r>
  <r>
    <x v="1"/>
    <x v="5"/>
    <x v="101"/>
    <n v="2698800"/>
    <n v="1799200"/>
    <n v="899600"/>
    <x v="72"/>
    <n v="10447536600"/>
    <n v="2099369250"/>
    <n v="8348167350"/>
    <n v="1017885"/>
    <x v="5"/>
    <x v="0"/>
  </r>
  <r>
    <x v="6"/>
    <x v="5"/>
    <x v="102"/>
    <n v="2508000"/>
    <n v="1672000"/>
    <n v="836000"/>
    <x v="73"/>
    <n v="10447536600"/>
    <n v="2099369250"/>
    <n v="8348167350"/>
    <n v="1017885"/>
    <x v="5"/>
    <x v="0"/>
  </r>
  <r>
    <x v="9"/>
    <x v="5"/>
    <x v="103"/>
    <n v="2676000"/>
    <n v="1784000"/>
    <n v="892000"/>
    <x v="74"/>
    <n v="10447536600"/>
    <n v="2099369250"/>
    <n v="8348167350"/>
    <n v="1017885"/>
    <x v="5"/>
    <x v="0"/>
  </r>
  <r>
    <x v="2"/>
    <x v="6"/>
    <x v="104"/>
    <n v="9744000"/>
    <n v="7238400"/>
    <n v="2505600"/>
    <x v="72"/>
    <n v="10447536600"/>
    <n v="2099369250"/>
    <n v="8348167350"/>
    <n v="1017885"/>
    <x v="5"/>
    <x v="0"/>
  </r>
  <r>
    <x v="0"/>
    <x v="6"/>
    <x v="105"/>
    <n v="8508500"/>
    <n v="6320600"/>
    <n v="2187900"/>
    <x v="75"/>
    <n v="10447536600"/>
    <n v="2099369250"/>
    <n v="8348167350"/>
    <n v="1017885"/>
    <x v="5"/>
    <x v="0"/>
  </r>
  <r>
    <x v="8"/>
    <x v="2"/>
    <x v="106"/>
    <n v="1048800"/>
    <n v="742900"/>
    <n v="305900"/>
    <x v="76"/>
    <n v="10447536600"/>
    <n v="2099369250"/>
    <n v="8348167350"/>
    <n v="1017885"/>
    <x v="6"/>
    <x v="0"/>
  </r>
  <r>
    <x v="3"/>
    <x v="3"/>
    <x v="107"/>
    <n v="92790000"/>
    <n v="78356000"/>
    <n v="14434000"/>
    <x v="77"/>
    <n v="10447536600"/>
    <n v="2099369250"/>
    <n v="8348167350"/>
    <n v="1017885"/>
    <x v="6"/>
    <x v="0"/>
  </r>
  <r>
    <x v="8"/>
    <x v="3"/>
    <x v="108"/>
    <n v="57105000"/>
    <n v="48222000"/>
    <n v="8883000"/>
    <x v="78"/>
    <n v="10447536600"/>
    <n v="2099369250"/>
    <n v="8348167350"/>
    <n v="1017885"/>
    <x v="6"/>
    <x v="0"/>
  </r>
  <r>
    <x v="8"/>
    <x v="5"/>
    <x v="109"/>
    <n v="2768400"/>
    <n v="1845600"/>
    <n v="922800"/>
    <x v="79"/>
    <n v="10447536600"/>
    <n v="2099369250"/>
    <n v="8348167350"/>
    <n v="1017885"/>
    <x v="6"/>
    <x v="0"/>
  </r>
  <r>
    <x v="3"/>
    <x v="3"/>
    <x v="110"/>
    <n v="43020000"/>
    <n v="36328000"/>
    <n v="6692000"/>
    <x v="80"/>
    <n v="10447536600"/>
    <n v="2099369250"/>
    <n v="8348167350"/>
    <n v="1017885"/>
    <x v="6"/>
    <x v="0"/>
  </r>
  <r>
    <x v="9"/>
    <x v="6"/>
    <x v="111"/>
    <n v="10433500"/>
    <n v="7750600"/>
    <n v="2682900"/>
    <x v="81"/>
    <n v="10447536600"/>
    <n v="2099369250"/>
    <n v="8348167350"/>
    <n v="1017885"/>
    <x v="6"/>
    <x v="0"/>
  </r>
  <r>
    <x v="1"/>
    <x v="2"/>
    <x v="112"/>
    <n v="3397200"/>
    <n v="2406350"/>
    <n v="990850"/>
    <x v="77"/>
    <n v="10447536600"/>
    <n v="2099369250"/>
    <n v="8348167350"/>
    <n v="1017885"/>
    <x v="6"/>
    <x v="0"/>
  </r>
  <r>
    <x v="1"/>
    <x v="1"/>
    <x v="113"/>
    <n v="6660000"/>
    <n v="4884000"/>
    <n v="1776000"/>
    <x v="79"/>
    <n v="10447536600"/>
    <n v="2099369250"/>
    <n v="8348167350"/>
    <n v="1017885"/>
    <x v="6"/>
    <x v="0"/>
  </r>
  <r>
    <x v="0"/>
    <x v="0"/>
    <x v="114"/>
    <n v="12490000"/>
    <n v="10491600"/>
    <n v="1998400"/>
    <x v="82"/>
    <n v="10447536600"/>
    <n v="2099369250"/>
    <n v="8348167350"/>
    <n v="1017885"/>
    <x v="6"/>
    <x v="0"/>
  </r>
  <r>
    <x v="8"/>
    <x v="5"/>
    <x v="115"/>
    <n v="915600"/>
    <n v="610400"/>
    <n v="305200"/>
    <x v="78"/>
    <n v="10447536600"/>
    <n v="2099369250"/>
    <n v="8348167350"/>
    <n v="1017885"/>
    <x v="6"/>
    <x v="0"/>
  </r>
  <r>
    <x v="0"/>
    <x v="2"/>
    <x v="116"/>
    <n v="192000"/>
    <n v="136000"/>
    <n v="56000"/>
    <x v="83"/>
    <n v="10447536600"/>
    <n v="2099369250"/>
    <n v="8348167350"/>
    <n v="1017885"/>
    <x v="6"/>
    <x v="0"/>
  </r>
  <r>
    <x v="9"/>
    <x v="1"/>
    <x v="117"/>
    <n v="15300000"/>
    <n v="11220000"/>
    <n v="4080000"/>
    <x v="84"/>
    <n v="10447536600"/>
    <n v="2099369250"/>
    <n v="8348167350"/>
    <n v="1017885"/>
    <x v="6"/>
    <x v="0"/>
  </r>
  <r>
    <x v="1"/>
    <x v="6"/>
    <x v="118"/>
    <n v="4809000"/>
    <n v="3572400"/>
    <n v="1236600"/>
    <x v="85"/>
    <n v="10447536600"/>
    <n v="2099369250"/>
    <n v="8348167350"/>
    <n v="1017885"/>
    <x v="6"/>
    <x v="0"/>
  </r>
  <r>
    <x v="7"/>
    <x v="6"/>
    <x v="119"/>
    <n v="7665000"/>
    <n v="5694000"/>
    <n v="1971000"/>
    <x v="86"/>
    <n v="10447536600"/>
    <n v="2099369250"/>
    <n v="8348167350"/>
    <n v="1017885"/>
    <x v="6"/>
    <x v="0"/>
  </r>
  <r>
    <x v="7"/>
    <x v="5"/>
    <x v="30"/>
    <n v="1207200"/>
    <n v="804800"/>
    <n v="402400"/>
    <x v="79"/>
    <n v="10447536600"/>
    <n v="2099369250"/>
    <n v="8348167350"/>
    <n v="1017885"/>
    <x v="6"/>
    <x v="0"/>
  </r>
  <r>
    <x v="7"/>
    <x v="0"/>
    <x v="120"/>
    <n v="3285000"/>
    <n v="2759400"/>
    <n v="525600"/>
    <x v="87"/>
    <n v="10447536600"/>
    <n v="2099369250"/>
    <n v="8348167350"/>
    <n v="1017885"/>
    <x v="6"/>
    <x v="0"/>
  </r>
  <r>
    <x v="4"/>
    <x v="3"/>
    <x v="121"/>
    <n v="19350000"/>
    <n v="16340000"/>
    <n v="3010000"/>
    <x v="85"/>
    <n v="10447536600"/>
    <n v="2099369250"/>
    <n v="8348167350"/>
    <n v="1017885"/>
    <x v="6"/>
    <x v="0"/>
  </r>
  <r>
    <x v="2"/>
    <x v="0"/>
    <x v="122"/>
    <n v="1550000"/>
    <n v="1302000"/>
    <n v="248000"/>
    <x v="88"/>
    <n v="10447536600"/>
    <n v="2099369250"/>
    <n v="8348167350"/>
    <n v="1017885"/>
    <x v="6"/>
    <x v="0"/>
  </r>
  <r>
    <x v="2"/>
    <x v="1"/>
    <x v="123"/>
    <n v="35760000"/>
    <n v="26224000"/>
    <n v="9536000"/>
    <x v="89"/>
    <n v="10447536600"/>
    <n v="2099369250"/>
    <n v="8348167350"/>
    <n v="1017885"/>
    <x v="6"/>
    <x v="0"/>
  </r>
  <r>
    <x v="7"/>
    <x v="0"/>
    <x v="124"/>
    <n v="9255000"/>
    <n v="7774200"/>
    <n v="1480800"/>
    <x v="90"/>
    <n v="10447536600"/>
    <n v="2099369250"/>
    <n v="8348167350"/>
    <n v="1017885"/>
    <x v="6"/>
    <x v="0"/>
  </r>
  <r>
    <x v="3"/>
    <x v="6"/>
    <x v="125"/>
    <n v="4781000"/>
    <n v="3551600"/>
    <n v="1229400"/>
    <x v="87"/>
    <n v="10447536600"/>
    <n v="2099369250"/>
    <n v="8348167350"/>
    <n v="1017885"/>
    <x v="6"/>
    <x v="0"/>
  </r>
  <r>
    <x v="2"/>
    <x v="0"/>
    <x v="126"/>
    <n v="6835000"/>
    <n v="5741400"/>
    <n v="1093600"/>
    <x v="78"/>
    <n v="10447536600"/>
    <n v="2099369250"/>
    <n v="8348167350"/>
    <n v="1017885"/>
    <x v="6"/>
    <x v="0"/>
  </r>
  <r>
    <x v="9"/>
    <x v="0"/>
    <x v="127"/>
    <n v="1500000"/>
    <n v="1260000"/>
    <n v="240000"/>
    <x v="91"/>
    <n v="10447536600"/>
    <n v="2099369250"/>
    <n v="8348167350"/>
    <n v="1017885"/>
    <x v="7"/>
    <x v="0"/>
  </r>
  <r>
    <x v="4"/>
    <x v="1"/>
    <x v="128"/>
    <n v="23910000"/>
    <n v="17534000"/>
    <n v="6376000"/>
    <x v="92"/>
    <n v="10447536600"/>
    <n v="2099369250"/>
    <n v="8348167350"/>
    <n v="1017885"/>
    <x v="7"/>
    <x v="0"/>
  </r>
  <r>
    <x v="1"/>
    <x v="1"/>
    <x v="129"/>
    <n v="1335000"/>
    <n v="979000"/>
    <n v="356000"/>
    <x v="93"/>
    <n v="10447536600"/>
    <n v="2099369250"/>
    <n v="8348167350"/>
    <n v="1017885"/>
    <x v="7"/>
    <x v="0"/>
  </r>
  <r>
    <x v="6"/>
    <x v="2"/>
    <x v="130"/>
    <n v="1969200"/>
    <n v="1394850"/>
    <n v="574350"/>
    <x v="94"/>
    <n v="10447536600"/>
    <n v="2099369250"/>
    <n v="8348167350"/>
    <n v="1017885"/>
    <x v="7"/>
    <x v="0"/>
  </r>
  <r>
    <x v="0"/>
    <x v="4"/>
    <x v="131"/>
    <n v="5811000"/>
    <n v="3486600"/>
    <n v="2324400"/>
    <x v="91"/>
    <n v="10447536600"/>
    <n v="2099369250"/>
    <n v="8348167350"/>
    <n v="1017885"/>
    <x v="7"/>
    <x v="0"/>
  </r>
  <r>
    <x v="1"/>
    <x v="2"/>
    <x v="132"/>
    <n v="678000"/>
    <n v="480250"/>
    <n v="197750"/>
    <x v="91"/>
    <n v="10447536600"/>
    <n v="2099369250"/>
    <n v="8348167350"/>
    <n v="1017885"/>
    <x v="7"/>
    <x v="0"/>
  </r>
  <r>
    <x v="8"/>
    <x v="6"/>
    <x v="133"/>
    <n v="7175000"/>
    <n v="5330000"/>
    <n v="1845000"/>
    <x v="95"/>
    <n v="10447536600"/>
    <n v="2099369250"/>
    <n v="8348167350"/>
    <n v="1017885"/>
    <x v="7"/>
    <x v="0"/>
  </r>
  <r>
    <x v="9"/>
    <x v="1"/>
    <x v="134"/>
    <n v="12630000"/>
    <n v="9262000"/>
    <n v="3368000"/>
    <x v="95"/>
    <n v="10447536600"/>
    <n v="2099369250"/>
    <n v="8348167350"/>
    <n v="1017885"/>
    <x v="7"/>
    <x v="0"/>
  </r>
  <r>
    <x v="6"/>
    <x v="3"/>
    <x v="135"/>
    <n v="19215000"/>
    <n v="16226000"/>
    <n v="2989000"/>
    <x v="96"/>
    <n v="10447536600"/>
    <n v="2099369250"/>
    <n v="8348167350"/>
    <n v="1017885"/>
    <x v="7"/>
    <x v="0"/>
  </r>
  <r>
    <x v="3"/>
    <x v="6"/>
    <x v="136"/>
    <n v="2898000"/>
    <n v="2152800"/>
    <n v="745200"/>
    <x v="94"/>
    <n v="10447536600"/>
    <n v="2099369250"/>
    <n v="8348167350"/>
    <n v="1017885"/>
    <x v="7"/>
    <x v="0"/>
  </r>
  <r>
    <x v="0"/>
    <x v="4"/>
    <x v="137"/>
    <n v="4878000"/>
    <n v="2926800"/>
    <n v="1951200"/>
    <x v="97"/>
    <n v="10447536600"/>
    <n v="2099369250"/>
    <n v="8348167350"/>
    <n v="1017885"/>
    <x v="7"/>
    <x v="0"/>
  </r>
  <r>
    <x v="3"/>
    <x v="3"/>
    <x v="138"/>
    <n v="28845000"/>
    <n v="24358000"/>
    <n v="4487000"/>
    <x v="98"/>
    <n v="10447536600"/>
    <n v="2099369250"/>
    <n v="8348167350"/>
    <n v="1017885"/>
    <x v="7"/>
    <x v="0"/>
  </r>
  <r>
    <x v="1"/>
    <x v="0"/>
    <x v="139"/>
    <n v="10180000"/>
    <n v="8551200"/>
    <n v="1628800"/>
    <x v="99"/>
    <n v="10447536600"/>
    <n v="2099369250"/>
    <n v="8348167350"/>
    <n v="1017885"/>
    <x v="7"/>
    <x v="0"/>
  </r>
  <r>
    <x v="5"/>
    <x v="5"/>
    <x v="140"/>
    <n v="1604400"/>
    <n v="1069600"/>
    <n v="534800"/>
    <x v="100"/>
    <n v="10447536600"/>
    <n v="2099369250"/>
    <n v="8348167350"/>
    <n v="1017885"/>
    <x v="7"/>
    <x v="0"/>
  </r>
  <r>
    <x v="1"/>
    <x v="3"/>
    <x v="141"/>
    <n v="25380000"/>
    <n v="21432000"/>
    <n v="3948000"/>
    <x v="101"/>
    <n v="10447536600"/>
    <n v="2099369250"/>
    <n v="8348167350"/>
    <n v="1017885"/>
    <x v="7"/>
    <x v="0"/>
  </r>
  <r>
    <x v="8"/>
    <x v="3"/>
    <x v="142"/>
    <n v="24255000"/>
    <n v="20482000"/>
    <n v="3773000"/>
    <x v="102"/>
    <n v="10447536600"/>
    <n v="2099369250"/>
    <n v="8348167350"/>
    <n v="1017885"/>
    <x v="7"/>
    <x v="0"/>
  </r>
  <r>
    <x v="0"/>
    <x v="0"/>
    <x v="143"/>
    <n v="12960000"/>
    <n v="10886400"/>
    <n v="2073600"/>
    <x v="103"/>
    <n v="10447536600"/>
    <n v="2099369250"/>
    <n v="8348167350"/>
    <n v="1017885"/>
    <x v="7"/>
    <x v="0"/>
  </r>
  <r>
    <x v="5"/>
    <x v="3"/>
    <x v="2"/>
    <n v="83205000"/>
    <n v="70262000"/>
    <n v="12943000"/>
    <x v="101"/>
    <n v="10447536600"/>
    <n v="2099369250"/>
    <n v="8348167350"/>
    <n v="1017885"/>
    <x v="7"/>
    <x v="0"/>
  </r>
  <r>
    <x v="0"/>
    <x v="6"/>
    <x v="144"/>
    <n v="8659000"/>
    <n v="6432400"/>
    <n v="2226600"/>
    <x v="104"/>
    <n v="10447536600"/>
    <n v="2099369250"/>
    <n v="8348167350"/>
    <n v="1017885"/>
    <x v="8"/>
    <x v="0"/>
  </r>
  <r>
    <x v="3"/>
    <x v="6"/>
    <x v="145"/>
    <n v="4917500"/>
    <n v="3653000"/>
    <n v="1264500"/>
    <x v="105"/>
    <n v="10447536600"/>
    <n v="2099369250"/>
    <n v="8348167350"/>
    <n v="1017885"/>
    <x v="8"/>
    <x v="0"/>
  </r>
  <r>
    <x v="2"/>
    <x v="1"/>
    <x v="146"/>
    <n v="9630000"/>
    <n v="7062000"/>
    <n v="2568000"/>
    <x v="106"/>
    <n v="10447536600"/>
    <n v="2099369250"/>
    <n v="8348167350"/>
    <n v="1017885"/>
    <x v="8"/>
    <x v="0"/>
  </r>
  <r>
    <x v="0"/>
    <x v="3"/>
    <x v="118"/>
    <n v="61830000"/>
    <n v="52212000"/>
    <n v="9618000"/>
    <x v="107"/>
    <n v="10447536600"/>
    <n v="2099369250"/>
    <n v="8348167350"/>
    <n v="1017885"/>
    <x v="8"/>
    <x v="0"/>
  </r>
  <r>
    <x v="3"/>
    <x v="2"/>
    <x v="147"/>
    <n v="3022800"/>
    <n v="2141150"/>
    <n v="881650"/>
    <x v="108"/>
    <n v="10447536600"/>
    <n v="2099369250"/>
    <n v="8348167350"/>
    <n v="1017885"/>
    <x v="8"/>
    <x v="0"/>
  </r>
  <r>
    <x v="0"/>
    <x v="6"/>
    <x v="148"/>
    <n v="1204000"/>
    <n v="894400"/>
    <n v="309600"/>
    <x v="104"/>
    <n v="10447536600"/>
    <n v="2099369250"/>
    <n v="8348167350"/>
    <n v="1017885"/>
    <x v="8"/>
    <x v="0"/>
  </r>
  <r>
    <x v="2"/>
    <x v="3"/>
    <x v="149"/>
    <n v="66825000"/>
    <n v="56430000"/>
    <n v="10395000"/>
    <x v="109"/>
    <n v="10447536600"/>
    <n v="2099369250"/>
    <n v="8348167350"/>
    <n v="1017885"/>
    <x v="8"/>
    <x v="0"/>
  </r>
  <r>
    <x v="1"/>
    <x v="3"/>
    <x v="150"/>
    <n v="63765000"/>
    <n v="53846000"/>
    <n v="9919000"/>
    <x v="110"/>
    <n v="10447536600"/>
    <n v="2099369250"/>
    <n v="8348167350"/>
    <n v="1017885"/>
    <x v="8"/>
    <x v="0"/>
  </r>
  <r>
    <x v="2"/>
    <x v="4"/>
    <x v="151"/>
    <n v="8055000"/>
    <n v="4833000"/>
    <n v="3222000"/>
    <x v="111"/>
    <n v="10447536600"/>
    <n v="2099369250"/>
    <n v="8348167350"/>
    <n v="1017885"/>
    <x v="8"/>
    <x v="0"/>
  </r>
  <r>
    <x v="5"/>
    <x v="0"/>
    <x v="152"/>
    <n v="3670000"/>
    <n v="3082800"/>
    <n v="587200"/>
    <x v="110"/>
    <n v="10447536600"/>
    <n v="2099369250"/>
    <n v="8348167350"/>
    <n v="1017885"/>
    <x v="8"/>
    <x v="0"/>
  </r>
  <r>
    <x v="5"/>
    <x v="1"/>
    <x v="153"/>
    <n v="10290000"/>
    <n v="7546000"/>
    <n v="2744000"/>
    <x v="108"/>
    <n v="10447536600"/>
    <n v="2099369250"/>
    <n v="8348167350"/>
    <n v="1017885"/>
    <x v="8"/>
    <x v="0"/>
  </r>
  <r>
    <x v="7"/>
    <x v="2"/>
    <x v="154"/>
    <n v="1186800"/>
    <n v="840650"/>
    <n v="346150"/>
    <x v="112"/>
    <n v="10447536600"/>
    <n v="2099369250"/>
    <n v="8348167350"/>
    <n v="1017885"/>
    <x v="8"/>
    <x v="0"/>
  </r>
  <r>
    <x v="8"/>
    <x v="5"/>
    <x v="155"/>
    <n v="92400"/>
    <n v="61600"/>
    <n v="30800"/>
    <x v="113"/>
    <n v="10447536600"/>
    <n v="2099369250"/>
    <n v="8348167350"/>
    <n v="1017885"/>
    <x v="8"/>
    <x v="0"/>
  </r>
  <r>
    <x v="1"/>
    <x v="4"/>
    <x v="156"/>
    <n v="1527000"/>
    <n v="916200"/>
    <n v="610800"/>
    <x v="114"/>
    <n v="10447536600"/>
    <n v="2099369250"/>
    <n v="8348167350"/>
    <n v="1017885"/>
    <x v="8"/>
    <x v="0"/>
  </r>
  <r>
    <x v="5"/>
    <x v="6"/>
    <x v="157"/>
    <n v="5026000"/>
    <n v="3733600"/>
    <n v="1292400"/>
    <x v="115"/>
    <n v="10447536600"/>
    <n v="2099369250"/>
    <n v="8348167350"/>
    <n v="1017885"/>
    <x v="9"/>
    <x v="0"/>
  </r>
  <r>
    <x v="4"/>
    <x v="5"/>
    <x v="158"/>
    <n v="3372000"/>
    <n v="2248000"/>
    <n v="1124000"/>
    <x v="116"/>
    <n v="10447536600"/>
    <n v="2099369250"/>
    <n v="8348167350"/>
    <n v="1017885"/>
    <x v="9"/>
    <x v="0"/>
  </r>
  <r>
    <x v="6"/>
    <x v="6"/>
    <x v="97"/>
    <n v="3815000"/>
    <n v="2834000"/>
    <n v="981000"/>
    <x v="117"/>
    <n v="10447536600"/>
    <n v="2099369250"/>
    <n v="8348167350"/>
    <n v="1017885"/>
    <x v="9"/>
    <x v="0"/>
  </r>
  <r>
    <x v="4"/>
    <x v="1"/>
    <x v="159"/>
    <n v="39315000"/>
    <n v="28831000"/>
    <n v="10484000"/>
    <x v="118"/>
    <n v="10447536600"/>
    <n v="2099369250"/>
    <n v="8348167350"/>
    <n v="1017885"/>
    <x v="9"/>
    <x v="0"/>
  </r>
  <r>
    <x v="3"/>
    <x v="5"/>
    <x v="160"/>
    <n v="528000"/>
    <n v="352000"/>
    <n v="176000"/>
    <x v="117"/>
    <n v="10447536600"/>
    <n v="2099369250"/>
    <n v="8348167350"/>
    <n v="1017885"/>
    <x v="9"/>
    <x v="0"/>
  </r>
  <r>
    <x v="4"/>
    <x v="3"/>
    <x v="161"/>
    <n v="20295000"/>
    <n v="17138000"/>
    <n v="3157000"/>
    <x v="119"/>
    <n v="10447536600"/>
    <n v="2099369250"/>
    <n v="8348167350"/>
    <n v="1017885"/>
    <x v="9"/>
    <x v="0"/>
  </r>
  <r>
    <x v="3"/>
    <x v="2"/>
    <x v="162"/>
    <n v="3208800"/>
    <n v="2272900"/>
    <n v="935900"/>
    <x v="120"/>
    <n v="10447536600"/>
    <n v="2099369250"/>
    <n v="8348167350"/>
    <n v="1017885"/>
    <x v="9"/>
    <x v="0"/>
  </r>
  <r>
    <x v="7"/>
    <x v="2"/>
    <x v="163"/>
    <n v="1458000"/>
    <n v="1032750"/>
    <n v="425250"/>
    <x v="121"/>
    <n v="10447536600"/>
    <n v="2099369250"/>
    <n v="8348167350"/>
    <n v="1017885"/>
    <x v="9"/>
    <x v="0"/>
  </r>
  <r>
    <x v="3"/>
    <x v="6"/>
    <x v="164"/>
    <n v="3269000"/>
    <n v="2428400"/>
    <n v="840600"/>
    <x v="122"/>
    <n v="10447536600"/>
    <n v="2099369250"/>
    <n v="8348167350"/>
    <n v="1017885"/>
    <x v="9"/>
    <x v="0"/>
  </r>
  <r>
    <x v="3"/>
    <x v="5"/>
    <x v="165"/>
    <n v="3019200"/>
    <n v="2012800"/>
    <n v="1006400"/>
    <x v="123"/>
    <n v="10447536600"/>
    <n v="2099369250"/>
    <n v="8348167350"/>
    <n v="1017885"/>
    <x v="9"/>
    <x v="0"/>
  </r>
  <r>
    <x v="7"/>
    <x v="0"/>
    <x v="166"/>
    <n v="3030000"/>
    <n v="2545200"/>
    <n v="484800"/>
    <x v="122"/>
    <n v="10447536600"/>
    <n v="2099369250"/>
    <n v="8348167350"/>
    <n v="1017885"/>
    <x v="9"/>
    <x v="0"/>
  </r>
  <r>
    <x v="8"/>
    <x v="1"/>
    <x v="167"/>
    <n v="28575000"/>
    <n v="20955000"/>
    <n v="7620000"/>
    <x v="124"/>
    <n v="10447536600"/>
    <n v="2099369250"/>
    <n v="8348167350"/>
    <n v="1017885"/>
    <x v="9"/>
    <x v="0"/>
  </r>
  <r>
    <x v="0"/>
    <x v="4"/>
    <x v="168"/>
    <n v="4395000"/>
    <n v="2637000"/>
    <n v="1758000"/>
    <x v="120"/>
    <n v="10447536600"/>
    <n v="2099369250"/>
    <n v="8348167350"/>
    <n v="1017885"/>
    <x v="9"/>
    <x v="0"/>
  </r>
  <r>
    <x v="8"/>
    <x v="4"/>
    <x v="169"/>
    <n v="873000"/>
    <n v="523800"/>
    <n v="349200"/>
    <x v="125"/>
    <n v="10447536600"/>
    <n v="2099369250"/>
    <n v="8348167350"/>
    <n v="1017885"/>
    <x v="9"/>
    <x v="0"/>
  </r>
  <r>
    <x v="6"/>
    <x v="1"/>
    <x v="84"/>
    <n v="43470000"/>
    <n v="31878000"/>
    <n v="11592000"/>
    <x v="126"/>
    <n v="10447536600"/>
    <n v="2099369250"/>
    <n v="8348167350"/>
    <n v="1017885"/>
    <x v="9"/>
    <x v="0"/>
  </r>
  <r>
    <x v="3"/>
    <x v="6"/>
    <x v="170"/>
    <n v="1281000"/>
    <n v="951600"/>
    <n v="329400"/>
    <x v="120"/>
    <n v="10447536600"/>
    <n v="2099369250"/>
    <n v="8348167350"/>
    <n v="1017885"/>
    <x v="9"/>
    <x v="0"/>
  </r>
  <r>
    <x v="4"/>
    <x v="2"/>
    <x v="171"/>
    <n v="2892000"/>
    <n v="2048500"/>
    <n v="843500"/>
    <x v="116"/>
    <n v="10447536600"/>
    <n v="2099369250"/>
    <n v="8348167350"/>
    <n v="1017885"/>
    <x v="9"/>
    <x v="0"/>
  </r>
  <r>
    <x v="4"/>
    <x v="6"/>
    <x v="172"/>
    <n v="5040000"/>
    <n v="3744000"/>
    <n v="1296000"/>
    <x v="127"/>
    <n v="10447536600"/>
    <n v="2099369250"/>
    <n v="8348167350"/>
    <n v="1017885"/>
    <x v="9"/>
    <x v="0"/>
  </r>
  <r>
    <x v="6"/>
    <x v="3"/>
    <x v="173"/>
    <n v="59580000"/>
    <n v="50312000"/>
    <n v="9268000"/>
    <x v="124"/>
    <n v="10447536600"/>
    <n v="2099369250"/>
    <n v="8348167350"/>
    <n v="1017885"/>
    <x v="9"/>
    <x v="0"/>
  </r>
  <r>
    <x v="1"/>
    <x v="6"/>
    <x v="174"/>
    <n v="5771500"/>
    <n v="4287400"/>
    <n v="1484100"/>
    <x v="128"/>
    <n v="10447536600"/>
    <n v="2099369250"/>
    <n v="8348167350"/>
    <n v="1017885"/>
    <x v="10"/>
    <x v="0"/>
  </r>
  <r>
    <x v="3"/>
    <x v="1"/>
    <x v="175"/>
    <n v="19530000"/>
    <n v="14322000"/>
    <n v="5208000"/>
    <x v="129"/>
    <n v="10447536600"/>
    <n v="2099369250"/>
    <n v="8348167350"/>
    <n v="1017885"/>
    <x v="10"/>
    <x v="0"/>
  </r>
  <r>
    <x v="6"/>
    <x v="2"/>
    <x v="176"/>
    <n v="1609200"/>
    <n v="1139850"/>
    <n v="469350"/>
    <x v="130"/>
    <n v="10447536600"/>
    <n v="2099369250"/>
    <n v="8348167350"/>
    <n v="1017885"/>
    <x v="10"/>
    <x v="0"/>
  </r>
  <r>
    <x v="6"/>
    <x v="2"/>
    <x v="177"/>
    <n v="2962800"/>
    <n v="2098650"/>
    <n v="864150"/>
    <x v="131"/>
    <n v="10447536600"/>
    <n v="2099369250"/>
    <n v="8348167350"/>
    <n v="1017885"/>
    <x v="10"/>
    <x v="0"/>
  </r>
  <r>
    <x v="9"/>
    <x v="4"/>
    <x v="178"/>
    <n v="825000"/>
    <n v="495000"/>
    <n v="330000"/>
    <x v="128"/>
    <n v="10447536600"/>
    <n v="2099369250"/>
    <n v="8348167350"/>
    <n v="1017885"/>
    <x v="10"/>
    <x v="0"/>
  </r>
  <r>
    <x v="7"/>
    <x v="6"/>
    <x v="179"/>
    <n v="6874000"/>
    <n v="5106400"/>
    <n v="1767600"/>
    <x v="132"/>
    <n v="10447536600"/>
    <n v="2099369250"/>
    <n v="8348167350"/>
    <n v="1017885"/>
    <x v="10"/>
    <x v="0"/>
  </r>
  <r>
    <x v="8"/>
    <x v="0"/>
    <x v="180"/>
    <n v="14175000"/>
    <n v="11907000"/>
    <n v="2268000"/>
    <x v="128"/>
    <n v="10447536600"/>
    <n v="2099369250"/>
    <n v="8348167350"/>
    <n v="1017885"/>
    <x v="10"/>
    <x v="0"/>
  </r>
  <r>
    <x v="2"/>
    <x v="1"/>
    <x v="181"/>
    <n v="7845000"/>
    <n v="5753000"/>
    <n v="2092000"/>
    <x v="133"/>
    <n v="10447536600"/>
    <n v="2099369250"/>
    <n v="8348167350"/>
    <n v="1017885"/>
    <x v="10"/>
    <x v="0"/>
  </r>
  <r>
    <x v="7"/>
    <x v="6"/>
    <x v="182"/>
    <n v="8036000"/>
    <n v="5969600"/>
    <n v="2066400"/>
    <x v="134"/>
    <n v="10447536600"/>
    <n v="2099369250"/>
    <n v="8348167350"/>
    <n v="1017885"/>
    <x v="10"/>
    <x v="0"/>
  </r>
  <r>
    <x v="3"/>
    <x v="3"/>
    <x v="183"/>
    <n v="86985000"/>
    <n v="73454000"/>
    <n v="13531000"/>
    <x v="135"/>
    <n v="10447536600"/>
    <n v="2099369250"/>
    <n v="8348167350"/>
    <n v="1017885"/>
    <x v="10"/>
    <x v="0"/>
  </r>
  <r>
    <x v="1"/>
    <x v="0"/>
    <x v="2"/>
    <n v="9245000"/>
    <n v="7765800"/>
    <n v="1479200"/>
    <x v="135"/>
    <n v="10447536600"/>
    <n v="2099369250"/>
    <n v="8348167350"/>
    <n v="1017885"/>
    <x v="10"/>
    <x v="0"/>
  </r>
  <r>
    <x v="0"/>
    <x v="5"/>
    <x v="184"/>
    <n v="1954800"/>
    <n v="1303200"/>
    <n v="651600"/>
    <x v="136"/>
    <n v="10447536600"/>
    <n v="2099369250"/>
    <n v="8348167350"/>
    <n v="1017885"/>
    <x v="10"/>
    <x v="0"/>
  </r>
  <r>
    <x v="2"/>
    <x v="6"/>
    <x v="185"/>
    <n v="2950500"/>
    <n v="2191800"/>
    <n v="758700"/>
    <x v="137"/>
    <n v="10447536600"/>
    <n v="2099369250"/>
    <n v="8348167350"/>
    <n v="1017885"/>
    <x v="11"/>
    <x v="0"/>
  </r>
  <r>
    <x v="7"/>
    <x v="2"/>
    <x v="56"/>
    <n v="1423200"/>
    <n v="1008100"/>
    <n v="415100"/>
    <x v="138"/>
    <n v="10447536600"/>
    <n v="2099369250"/>
    <n v="8348167350"/>
    <n v="1017885"/>
    <x v="11"/>
    <x v="0"/>
  </r>
  <r>
    <x v="7"/>
    <x v="5"/>
    <x v="186"/>
    <n v="454800"/>
    <n v="303200"/>
    <n v="151600"/>
    <x v="139"/>
    <n v="10447536600"/>
    <n v="2099369250"/>
    <n v="8348167350"/>
    <n v="1017885"/>
    <x v="11"/>
    <x v="0"/>
  </r>
  <r>
    <x v="8"/>
    <x v="1"/>
    <x v="187"/>
    <n v="915000"/>
    <n v="671000"/>
    <n v="244000"/>
    <x v="140"/>
    <n v="10447536600"/>
    <n v="2099369250"/>
    <n v="8348167350"/>
    <n v="1017885"/>
    <x v="11"/>
    <x v="0"/>
  </r>
  <r>
    <x v="9"/>
    <x v="0"/>
    <x v="188"/>
    <n v="12355000"/>
    <n v="10378200"/>
    <n v="1976800"/>
    <x v="141"/>
    <n v="10447536600"/>
    <n v="2099369250"/>
    <n v="8348167350"/>
    <n v="1017885"/>
    <x v="11"/>
    <x v="0"/>
  </r>
  <r>
    <x v="8"/>
    <x v="1"/>
    <x v="189"/>
    <n v="13140000"/>
    <n v="9636000"/>
    <n v="3504000"/>
    <x v="142"/>
    <n v="10447536600"/>
    <n v="2099369250"/>
    <n v="8348167350"/>
    <n v="1017885"/>
    <x v="11"/>
    <x v="0"/>
  </r>
  <r>
    <x v="3"/>
    <x v="5"/>
    <x v="190"/>
    <n v="2437200"/>
    <n v="1624800"/>
    <n v="812400"/>
    <x v="143"/>
    <n v="10447536600"/>
    <n v="2099369250"/>
    <n v="8348167350"/>
    <n v="1017885"/>
    <x v="11"/>
    <x v="0"/>
  </r>
  <r>
    <x v="0"/>
    <x v="0"/>
    <x v="191"/>
    <n v="5675000"/>
    <n v="4767000"/>
    <n v="908000"/>
    <x v="144"/>
    <n v="10447536600"/>
    <n v="2099369250"/>
    <n v="8348167350"/>
    <n v="1017885"/>
    <x v="11"/>
    <x v="0"/>
  </r>
  <r>
    <x v="5"/>
    <x v="3"/>
    <x v="192"/>
    <n v="36945000"/>
    <n v="31198000"/>
    <n v="5747000"/>
    <x v="145"/>
    <n v="10447536600"/>
    <n v="2099369250"/>
    <n v="8348167350"/>
    <n v="1017885"/>
    <x v="11"/>
    <x v="0"/>
  </r>
  <r>
    <x v="7"/>
    <x v="4"/>
    <x v="193"/>
    <n v="3279000"/>
    <n v="1967400"/>
    <n v="1311600"/>
    <x v="146"/>
    <n v="10447536600"/>
    <n v="2099369250"/>
    <n v="8348167350"/>
    <n v="1017885"/>
    <x v="11"/>
    <x v="0"/>
  </r>
  <r>
    <x v="6"/>
    <x v="4"/>
    <x v="194"/>
    <n v="4938000"/>
    <n v="2962800"/>
    <n v="1975200"/>
    <x v="140"/>
    <n v="10447536600"/>
    <n v="2099369250"/>
    <n v="8348167350"/>
    <n v="1017885"/>
    <x v="11"/>
    <x v="0"/>
  </r>
  <r>
    <x v="4"/>
    <x v="5"/>
    <x v="195"/>
    <n v="1608000"/>
    <n v="1072000"/>
    <n v="536000"/>
    <x v="138"/>
    <n v="10447536600"/>
    <n v="2099369250"/>
    <n v="8348167350"/>
    <n v="1017885"/>
    <x v="11"/>
    <x v="0"/>
  </r>
  <r>
    <x v="2"/>
    <x v="4"/>
    <x v="196"/>
    <n v="5070000"/>
    <n v="3042000"/>
    <n v="2028000"/>
    <x v="147"/>
    <n v="10447536600"/>
    <n v="2099369250"/>
    <n v="8348167350"/>
    <n v="1017885"/>
    <x v="11"/>
    <x v="0"/>
  </r>
  <r>
    <x v="6"/>
    <x v="2"/>
    <x v="197"/>
    <n v="1843200"/>
    <n v="1305600"/>
    <n v="537600"/>
    <x v="144"/>
    <n v="10447536600"/>
    <n v="2099369250"/>
    <n v="8348167350"/>
    <n v="1017885"/>
    <x v="11"/>
    <x v="0"/>
  </r>
  <r>
    <x v="1"/>
    <x v="4"/>
    <x v="198"/>
    <n v="8385000"/>
    <n v="5031000"/>
    <n v="3354000"/>
    <x v="141"/>
    <n v="10447536600"/>
    <n v="2099369250"/>
    <n v="8348167350"/>
    <n v="1017885"/>
    <x v="11"/>
    <x v="0"/>
  </r>
  <r>
    <x v="7"/>
    <x v="5"/>
    <x v="199"/>
    <n v="1324800"/>
    <n v="883200"/>
    <n v="441600"/>
    <x v="137"/>
    <n v="10447536600"/>
    <n v="2099369250"/>
    <n v="8348167350"/>
    <n v="1017885"/>
    <x v="11"/>
    <x v="0"/>
  </r>
  <r>
    <x v="0"/>
    <x v="5"/>
    <x v="200"/>
    <n v="1578000"/>
    <n v="1052000"/>
    <n v="526000"/>
    <x v="148"/>
    <n v="10447536600"/>
    <n v="2099369250"/>
    <n v="8348167350"/>
    <n v="1017885"/>
    <x v="11"/>
    <x v="0"/>
  </r>
  <r>
    <x v="5"/>
    <x v="2"/>
    <x v="201"/>
    <n v="1009200"/>
    <n v="714850"/>
    <n v="294350"/>
    <x v="149"/>
    <n v="10447536600"/>
    <n v="2099369250"/>
    <n v="8348167350"/>
    <n v="1017885"/>
    <x v="11"/>
    <x v="0"/>
  </r>
  <r>
    <x v="7"/>
    <x v="6"/>
    <x v="202"/>
    <n v="3619000"/>
    <n v="2688400"/>
    <n v="930600"/>
    <x v="142"/>
    <n v="10447536600"/>
    <n v="2099369250"/>
    <n v="8348167350"/>
    <n v="1017885"/>
    <x v="11"/>
    <x v="0"/>
  </r>
  <r>
    <x v="5"/>
    <x v="4"/>
    <x v="62"/>
    <n v="5277000"/>
    <n v="3166200"/>
    <n v="2110800"/>
    <x v="150"/>
    <n v="10447536600"/>
    <n v="2099369250"/>
    <n v="8348167350"/>
    <n v="1017885"/>
    <x v="11"/>
    <x v="0"/>
  </r>
  <r>
    <x v="5"/>
    <x v="5"/>
    <x v="203"/>
    <n v="3387600"/>
    <n v="2258400"/>
    <n v="1129200"/>
    <x v="151"/>
    <n v="10447536600"/>
    <n v="2099369250"/>
    <n v="8348167350"/>
    <n v="1017885"/>
    <x v="11"/>
    <x v="0"/>
  </r>
  <r>
    <x v="1"/>
    <x v="2"/>
    <x v="204"/>
    <n v="230400"/>
    <n v="163200"/>
    <n v="67200"/>
    <x v="152"/>
    <n v="10447536600"/>
    <n v="2099369250"/>
    <n v="8348167350"/>
    <n v="1017885"/>
    <x v="11"/>
    <x v="0"/>
  </r>
  <r>
    <x v="8"/>
    <x v="5"/>
    <x v="205"/>
    <n v="2862000"/>
    <n v="1908000"/>
    <n v="954000"/>
    <x v="141"/>
    <n v="10447536600"/>
    <n v="2099369250"/>
    <n v="8348167350"/>
    <n v="1017885"/>
    <x v="11"/>
    <x v="0"/>
  </r>
  <r>
    <x v="8"/>
    <x v="0"/>
    <x v="206"/>
    <n v="2875000"/>
    <n v="2415000"/>
    <n v="460000"/>
    <x v="153"/>
    <n v="10447536600"/>
    <n v="2099369250"/>
    <n v="8348167350"/>
    <n v="1017885"/>
    <x v="11"/>
    <x v="0"/>
  </r>
  <r>
    <x v="9"/>
    <x v="0"/>
    <x v="207"/>
    <n v="13940000"/>
    <n v="11709600"/>
    <n v="2230400"/>
    <x v="154"/>
    <n v="10447536600"/>
    <n v="2099369250"/>
    <n v="8348167350"/>
    <n v="1017885"/>
    <x v="11"/>
    <x v="0"/>
  </r>
  <r>
    <x v="8"/>
    <x v="0"/>
    <x v="208"/>
    <n v="10830000"/>
    <n v="9097200"/>
    <n v="1732800"/>
    <x v="155"/>
    <n v="10447536600"/>
    <n v="2099369250"/>
    <n v="8348167350"/>
    <n v="1017885"/>
    <x v="0"/>
    <x v="1"/>
  </r>
  <r>
    <x v="0"/>
    <x v="0"/>
    <x v="209"/>
    <n v="2250000"/>
    <n v="1890000"/>
    <n v="360000"/>
    <x v="156"/>
    <n v="10447536600"/>
    <n v="2099369250"/>
    <n v="8348167350"/>
    <n v="1017885"/>
    <x v="0"/>
    <x v="1"/>
  </r>
  <r>
    <x v="9"/>
    <x v="6"/>
    <x v="210"/>
    <n v="1445500"/>
    <n v="1073800"/>
    <n v="371700"/>
    <x v="157"/>
    <n v="10447536600"/>
    <n v="2099369250"/>
    <n v="8348167350"/>
    <n v="1017885"/>
    <x v="0"/>
    <x v="1"/>
  </r>
  <r>
    <x v="2"/>
    <x v="1"/>
    <x v="211"/>
    <n v="20625000"/>
    <n v="15125000"/>
    <n v="5500000"/>
    <x v="158"/>
    <n v="10447536600"/>
    <n v="2099369250"/>
    <n v="8348167350"/>
    <n v="1017885"/>
    <x v="0"/>
    <x v="1"/>
  </r>
  <r>
    <x v="3"/>
    <x v="5"/>
    <x v="212"/>
    <n v="2326800"/>
    <n v="1551200"/>
    <n v="775600"/>
    <x v="158"/>
    <n v="10447536600"/>
    <n v="2099369250"/>
    <n v="8348167350"/>
    <n v="1017885"/>
    <x v="0"/>
    <x v="1"/>
  </r>
  <r>
    <x v="3"/>
    <x v="3"/>
    <x v="213"/>
    <n v="55935000"/>
    <n v="47234000"/>
    <n v="8701000"/>
    <x v="159"/>
    <n v="10447536600"/>
    <n v="2099369250"/>
    <n v="8348167350"/>
    <n v="1017885"/>
    <x v="0"/>
    <x v="1"/>
  </r>
  <r>
    <x v="4"/>
    <x v="1"/>
    <x v="214"/>
    <n v="7125000"/>
    <n v="5225000"/>
    <n v="1900000"/>
    <x v="160"/>
    <n v="10447536600"/>
    <n v="2099369250"/>
    <n v="8348167350"/>
    <n v="1017885"/>
    <x v="0"/>
    <x v="1"/>
  </r>
  <r>
    <x v="3"/>
    <x v="0"/>
    <x v="215"/>
    <n v="6485000"/>
    <n v="5447400"/>
    <n v="1037600"/>
    <x v="161"/>
    <n v="10447536600"/>
    <n v="2099369250"/>
    <n v="8348167350"/>
    <n v="1017885"/>
    <x v="0"/>
    <x v="1"/>
  </r>
  <r>
    <x v="4"/>
    <x v="1"/>
    <x v="216"/>
    <n v="42030000"/>
    <n v="30822000"/>
    <n v="11208000"/>
    <x v="162"/>
    <n v="10447536600"/>
    <n v="2099369250"/>
    <n v="8348167350"/>
    <n v="1017885"/>
    <x v="0"/>
    <x v="1"/>
  </r>
  <r>
    <x v="4"/>
    <x v="2"/>
    <x v="217"/>
    <n v="3068400"/>
    <n v="2173450"/>
    <n v="894950"/>
    <x v="155"/>
    <n v="10447536600"/>
    <n v="2099369250"/>
    <n v="8348167350"/>
    <n v="1017885"/>
    <x v="0"/>
    <x v="1"/>
  </r>
  <r>
    <x v="8"/>
    <x v="0"/>
    <x v="218"/>
    <n v="10880000"/>
    <n v="9139200"/>
    <n v="1740800"/>
    <x v="163"/>
    <n v="10447536600"/>
    <n v="2099369250"/>
    <n v="8348167350"/>
    <n v="1017885"/>
    <x v="0"/>
    <x v="1"/>
  </r>
  <r>
    <x v="0"/>
    <x v="4"/>
    <x v="219"/>
    <n v="3300000"/>
    <n v="1980000"/>
    <n v="1320000"/>
    <x v="164"/>
    <n v="10447536600"/>
    <n v="2099369250"/>
    <n v="8348167350"/>
    <n v="1017885"/>
    <x v="0"/>
    <x v="1"/>
  </r>
  <r>
    <x v="9"/>
    <x v="3"/>
    <x v="220"/>
    <n v="134820000"/>
    <n v="113848000"/>
    <n v="20972000"/>
    <x v="157"/>
    <n v="10447536600"/>
    <n v="2099369250"/>
    <n v="8348167350"/>
    <n v="1017885"/>
    <x v="0"/>
    <x v="1"/>
  </r>
  <r>
    <x v="8"/>
    <x v="2"/>
    <x v="221"/>
    <n v="3062400"/>
    <n v="2169200"/>
    <n v="893200"/>
    <x v="165"/>
    <n v="10447536600"/>
    <n v="2099369250"/>
    <n v="8348167350"/>
    <n v="1017885"/>
    <x v="0"/>
    <x v="1"/>
  </r>
  <r>
    <x v="1"/>
    <x v="0"/>
    <x v="73"/>
    <n v="2850000"/>
    <n v="2394000"/>
    <n v="456000"/>
    <x v="166"/>
    <n v="10447536600"/>
    <n v="2099369250"/>
    <n v="8348167350"/>
    <n v="1017885"/>
    <x v="0"/>
    <x v="1"/>
  </r>
  <r>
    <x v="3"/>
    <x v="5"/>
    <x v="222"/>
    <n v="750000"/>
    <n v="500000"/>
    <n v="250000"/>
    <x v="167"/>
    <n v="10447536600"/>
    <n v="2099369250"/>
    <n v="8348167350"/>
    <n v="1017885"/>
    <x v="0"/>
    <x v="1"/>
  </r>
  <r>
    <x v="6"/>
    <x v="2"/>
    <x v="223"/>
    <n v="2463600"/>
    <n v="1745050"/>
    <n v="718550"/>
    <x v="168"/>
    <n v="10447536600"/>
    <n v="2099369250"/>
    <n v="8348167350"/>
    <n v="1017885"/>
    <x v="0"/>
    <x v="1"/>
  </r>
  <r>
    <x v="9"/>
    <x v="0"/>
    <x v="224"/>
    <n v="6445000"/>
    <n v="5413800"/>
    <n v="1031200"/>
    <x v="169"/>
    <n v="10447536600"/>
    <n v="2099369250"/>
    <n v="8348167350"/>
    <n v="1017885"/>
    <x v="0"/>
    <x v="1"/>
  </r>
  <r>
    <x v="3"/>
    <x v="5"/>
    <x v="225"/>
    <n v="319200"/>
    <n v="212800"/>
    <n v="106400"/>
    <x v="170"/>
    <n v="10447536600"/>
    <n v="2099369250"/>
    <n v="8348167350"/>
    <n v="1017885"/>
    <x v="0"/>
    <x v="1"/>
  </r>
  <r>
    <x v="2"/>
    <x v="5"/>
    <x v="226"/>
    <n v="3028800"/>
    <n v="2019200"/>
    <n v="1009600"/>
    <x v="171"/>
    <n v="10447536600"/>
    <n v="2099369250"/>
    <n v="8348167350"/>
    <n v="1017885"/>
    <x v="0"/>
    <x v="1"/>
  </r>
  <r>
    <x v="3"/>
    <x v="6"/>
    <x v="227"/>
    <n v="5488000"/>
    <n v="4076800"/>
    <n v="1411200"/>
    <x v="172"/>
    <n v="10447536600"/>
    <n v="2099369250"/>
    <n v="8348167350"/>
    <n v="1017885"/>
    <x v="0"/>
    <x v="1"/>
  </r>
  <r>
    <x v="5"/>
    <x v="5"/>
    <x v="228"/>
    <n v="3309600"/>
    <n v="2206400"/>
    <n v="1103200"/>
    <x v="173"/>
    <n v="10447536600"/>
    <n v="2099369250"/>
    <n v="8348167350"/>
    <n v="1017885"/>
    <x v="1"/>
    <x v="1"/>
  </r>
  <r>
    <x v="4"/>
    <x v="6"/>
    <x v="229"/>
    <n v="2656500"/>
    <n v="1973400"/>
    <n v="683100"/>
    <x v="174"/>
    <n v="10447536600"/>
    <n v="2099369250"/>
    <n v="8348167350"/>
    <n v="1017885"/>
    <x v="1"/>
    <x v="1"/>
  </r>
  <r>
    <x v="6"/>
    <x v="0"/>
    <x v="230"/>
    <n v="10410000"/>
    <n v="8744400"/>
    <n v="1665600"/>
    <x v="175"/>
    <n v="10447536600"/>
    <n v="2099369250"/>
    <n v="8348167350"/>
    <n v="1017885"/>
    <x v="1"/>
    <x v="1"/>
  </r>
  <r>
    <x v="2"/>
    <x v="6"/>
    <x v="231"/>
    <n v="7168000"/>
    <n v="5324800"/>
    <n v="1843200"/>
    <x v="176"/>
    <n v="10447536600"/>
    <n v="2099369250"/>
    <n v="8348167350"/>
    <n v="1017885"/>
    <x v="1"/>
    <x v="1"/>
  </r>
  <r>
    <x v="1"/>
    <x v="2"/>
    <x v="232"/>
    <n v="1078800"/>
    <n v="764150"/>
    <n v="314650"/>
    <x v="177"/>
    <n v="10447536600"/>
    <n v="2099369250"/>
    <n v="8348167350"/>
    <n v="1017885"/>
    <x v="1"/>
    <x v="1"/>
  </r>
  <r>
    <x v="5"/>
    <x v="5"/>
    <x v="233"/>
    <n v="262800"/>
    <n v="175200"/>
    <n v="87600"/>
    <x v="177"/>
    <n v="10447536600"/>
    <n v="2099369250"/>
    <n v="8348167350"/>
    <n v="1017885"/>
    <x v="1"/>
    <x v="1"/>
  </r>
  <r>
    <x v="1"/>
    <x v="6"/>
    <x v="234"/>
    <n v="1760500"/>
    <n v="1307800"/>
    <n v="452700"/>
    <x v="174"/>
    <n v="10447536600"/>
    <n v="2099369250"/>
    <n v="8348167350"/>
    <n v="1017885"/>
    <x v="1"/>
    <x v="1"/>
  </r>
  <r>
    <x v="9"/>
    <x v="2"/>
    <x v="235"/>
    <n v="2442000"/>
    <n v="1729750"/>
    <n v="712250"/>
    <x v="178"/>
    <n v="10447536600"/>
    <n v="2099369250"/>
    <n v="8348167350"/>
    <n v="1017885"/>
    <x v="1"/>
    <x v="1"/>
  </r>
  <r>
    <x v="9"/>
    <x v="1"/>
    <x v="236"/>
    <n v="6135000"/>
    <n v="4499000"/>
    <n v="1636000"/>
    <x v="179"/>
    <n v="10447536600"/>
    <n v="2099369250"/>
    <n v="8348167350"/>
    <n v="1017885"/>
    <x v="1"/>
    <x v="1"/>
  </r>
  <r>
    <x v="0"/>
    <x v="5"/>
    <x v="237"/>
    <n v="898800"/>
    <n v="599200"/>
    <n v="299600"/>
    <x v="180"/>
    <n v="10447536600"/>
    <n v="2099369250"/>
    <n v="8348167350"/>
    <n v="1017885"/>
    <x v="1"/>
    <x v="1"/>
  </r>
  <r>
    <x v="2"/>
    <x v="6"/>
    <x v="238"/>
    <n v="3650500"/>
    <n v="2711800"/>
    <n v="938700"/>
    <x v="181"/>
    <n v="10447536600"/>
    <n v="2099369250"/>
    <n v="8348167350"/>
    <n v="1017885"/>
    <x v="1"/>
    <x v="1"/>
  </r>
  <r>
    <x v="7"/>
    <x v="0"/>
    <x v="239"/>
    <n v="12780000"/>
    <n v="10735200"/>
    <n v="2044800"/>
    <x v="176"/>
    <n v="10447536600"/>
    <n v="2099369250"/>
    <n v="8348167350"/>
    <n v="1017885"/>
    <x v="1"/>
    <x v="1"/>
  </r>
  <r>
    <x v="8"/>
    <x v="0"/>
    <x v="240"/>
    <n v="7900000"/>
    <n v="6636000"/>
    <n v="1264000"/>
    <x v="182"/>
    <n v="10447536600"/>
    <n v="2099369250"/>
    <n v="8348167350"/>
    <n v="1017885"/>
    <x v="1"/>
    <x v="1"/>
  </r>
  <r>
    <x v="9"/>
    <x v="5"/>
    <x v="241"/>
    <n v="1612800"/>
    <n v="1075200"/>
    <n v="537600"/>
    <x v="174"/>
    <n v="10447536600"/>
    <n v="2099369250"/>
    <n v="8348167350"/>
    <n v="1017885"/>
    <x v="1"/>
    <x v="1"/>
  </r>
  <r>
    <x v="2"/>
    <x v="4"/>
    <x v="242"/>
    <n v="4179000"/>
    <n v="2507400"/>
    <n v="1671600"/>
    <x v="183"/>
    <n v="10447536600"/>
    <n v="2099369250"/>
    <n v="8348167350"/>
    <n v="1017885"/>
    <x v="1"/>
    <x v="1"/>
  </r>
  <r>
    <x v="5"/>
    <x v="6"/>
    <x v="243"/>
    <n v="6363000"/>
    <n v="4726800"/>
    <n v="1636200"/>
    <x v="184"/>
    <n v="10447536600"/>
    <n v="2099369250"/>
    <n v="8348167350"/>
    <n v="1017885"/>
    <x v="1"/>
    <x v="1"/>
  </r>
  <r>
    <x v="1"/>
    <x v="1"/>
    <x v="244"/>
    <n v="44520000"/>
    <n v="32648000"/>
    <n v="11872000"/>
    <x v="185"/>
    <n v="10447536600"/>
    <n v="2099369250"/>
    <n v="8348167350"/>
    <n v="1017885"/>
    <x v="1"/>
    <x v="1"/>
  </r>
  <r>
    <x v="9"/>
    <x v="4"/>
    <x v="245"/>
    <n v="189000"/>
    <n v="113400"/>
    <n v="75600"/>
    <x v="181"/>
    <n v="10447536600"/>
    <n v="2099369250"/>
    <n v="8348167350"/>
    <n v="1017885"/>
    <x v="1"/>
    <x v="1"/>
  </r>
  <r>
    <x v="5"/>
    <x v="1"/>
    <x v="246"/>
    <n v="30480000"/>
    <n v="22352000"/>
    <n v="8128000"/>
    <x v="177"/>
    <n v="10447536600"/>
    <n v="2099369250"/>
    <n v="8348167350"/>
    <n v="1017885"/>
    <x v="1"/>
    <x v="1"/>
  </r>
  <r>
    <x v="1"/>
    <x v="4"/>
    <x v="247"/>
    <n v="5286000"/>
    <n v="3171600"/>
    <n v="2114400"/>
    <x v="186"/>
    <n v="10447536600"/>
    <n v="2099369250"/>
    <n v="8348167350"/>
    <n v="1017885"/>
    <x v="1"/>
    <x v="1"/>
  </r>
  <r>
    <x v="5"/>
    <x v="4"/>
    <x v="1"/>
    <n v="8889000"/>
    <n v="5333400"/>
    <n v="3555600"/>
    <x v="174"/>
    <n v="10447536600"/>
    <n v="2099369250"/>
    <n v="8348167350"/>
    <n v="1017885"/>
    <x v="1"/>
    <x v="1"/>
  </r>
  <r>
    <x v="3"/>
    <x v="0"/>
    <x v="248"/>
    <n v="4435000"/>
    <n v="3725400"/>
    <n v="709600"/>
    <x v="183"/>
    <n v="10447536600"/>
    <n v="2099369250"/>
    <n v="8348167350"/>
    <n v="1017885"/>
    <x v="1"/>
    <x v="1"/>
  </r>
  <r>
    <x v="8"/>
    <x v="5"/>
    <x v="249"/>
    <n v="2407200"/>
    <n v="1604800"/>
    <n v="802400"/>
    <x v="176"/>
    <n v="10447536600"/>
    <n v="2099369250"/>
    <n v="8348167350"/>
    <n v="1017885"/>
    <x v="1"/>
    <x v="1"/>
  </r>
  <r>
    <x v="0"/>
    <x v="3"/>
    <x v="250"/>
    <n v="89505000"/>
    <n v="75582000"/>
    <n v="13923000"/>
    <x v="187"/>
    <n v="10447536600"/>
    <n v="2099369250"/>
    <n v="8348167350"/>
    <n v="1017885"/>
    <x v="1"/>
    <x v="1"/>
  </r>
  <r>
    <x v="2"/>
    <x v="2"/>
    <x v="251"/>
    <n v="214800"/>
    <n v="152150"/>
    <n v="62650"/>
    <x v="188"/>
    <n v="10447536600"/>
    <n v="2099369250"/>
    <n v="8348167350"/>
    <n v="1017885"/>
    <x v="2"/>
    <x v="1"/>
  </r>
  <r>
    <x v="6"/>
    <x v="5"/>
    <x v="252"/>
    <n v="2174400"/>
    <n v="1449600"/>
    <n v="724800"/>
    <x v="189"/>
    <n v="10447536600"/>
    <n v="2099369250"/>
    <n v="8348167350"/>
    <n v="1017885"/>
    <x v="2"/>
    <x v="1"/>
  </r>
  <r>
    <x v="1"/>
    <x v="2"/>
    <x v="253"/>
    <n v="265200"/>
    <n v="187850"/>
    <n v="77350"/>
    <x v="190"/>
    <n v="10447536600"/>
    <n v="2099369250"/>
    <n v="8348167350"/>
    <n v="1017885"/>
    <x v="2"/>
    <x v="1"/>
  </r>
  <r>
    <x v="8"/>
    <x v="0"/>
    <x v="254"/>
    <n v="1325000"/>
    <n v="1113000"/>
    <n v="212000"/>
    <x v="188"/>
    <n v="10447536600"/>
    <n v="2099369250"/>
    <n v="8348167350"/>
    <n v="1017885"/>
    <x v="2"/>
    <x v="1"/>
  </r>
  <r>
    <x v="2"/>
    <x v="3"/>
    <x v="255"/>
    <n v="44280000"/>
    <n v="37392000"/>
    <n v="6888000"/>
    <x v="191"/>
    <n v="10447536600"/>
    <n v="2099369250"/>
    <n v="8348167350"/>
    <n v="1017885"/>
    <x v="2"/>
    <x v="1"/>
  </r>
  <r>
    <x v="6"/>
    <x v="4"/>
    <x v="256"/>
    <n v="963000"/>
    <n v="577800"/>
    <n v="385200"/>
    <x v="192"/>
    <n v="10447536600"/>
    <n v="2099369250"/>
    <n v="8348167350"/>
    <n v="1017885"/>
    <x v="2"/>
    <x v="1"/>
  </r>
  <r>
    <x v="5"/>
    <x v="3"/>
    <x v="257"/>
    <n v="84510000"/>
    <n v="71364000"/>
    <n v="13146000"/>
    <x v="193"/>
    <n v="10447536600"/>
    <n v="2099369250"/>
    <n v="8348167350"/>
    <n v="1017885"/>
    <x v="2"/>
    <x v="1"/>
  </r>
  <r>
    <x v="0"/>
    <x v="0"/>
    <x v="258"/>
    <n v="6915000"/>
    <n v="5808600"/>
    <n v="1106400"/>
    <x v="194"/>
    <n v="10447536600"/>
    <n v="2099369250"/>
    <n v="8348167350"/>
    <n v="1017885"/>
    <x v="2"/>
    <x v="1"/>
  </r>
  <r>
    <x v="5"/>
    <x v="1"/>
    <x v="259"/>
    <n v="14790000"/>
    <n v="10846000"/>
    <n v="3944000"/>
    <x v="195"/>
    <n v="10447536600"/>
    <n v="2099369250"/>
    <n v="8348167350"/>
    <n v="1017885"/>
    <x v="2"/>
    <x v="1"/>
  </r>
  <r>
    <x v="8"/>
    <x v="2"/>
    <x v="260"/>
    <n v="2775600"/>
    <n v="1966050"/>
    <n v="809550"/>
    <x v="196"/>
    <n v="10447536600"/>
    <n v="2099369250"/>
    <n v="8348167350"/>
    <n v="1017885"/>
    <x v="2"/>
    <x v="1"/>
  </r>
  <r>
    <x v="4"/>
    <x v="0"/>
    <x v="261"/>
    <n v="6340000"/>
    <n v="5325600"/>
    <n v="1014400"/>
    <x v="197"/>
    <n v="10447536600"/>
    <n v="2099369250"/>
    <n v="8348167350"/>
    <n v="1017885"/>
    <x v="2"/>
    <x v="1"/>
  </r>
  <r>
    <x v="5"/>
    <x v="4"/>
    <x v="262"/>
    <n v="5298000"/>
    <n v="3178800"/>
    <n v="2119200"/>
    <x v="198"/>
    <n v="10447536600"/>
    <n v="2099369250"/>
    <n v="8348167350"/>
    <n v="1017885"/>
    <x v="2"/>
    <x v="1"/>
  </r>
  <r>
    <x v="8"/>
    <x v="4"/>
    <x v="263"/>
    <n v="7533000"/>
    <n v="4519800"/>
    <n v="3013200"/>
    <x v="189"/>
    <n v="10447536600"/>
    <n v="2099369250"/>
    <n v="8348167350"/>
    <n v="1017885"/>
    <x v="2"/>
    <x v="1"/>
  </r>
  <r>
    <x v="1"/>
    <x v="4"/>
    <x v="264"/>
    <n v="210000"/>
    <n v="126000"/>
    <n v="84000"/>
    <x v="197"/>
    <n v="10447536600"/>
    <n v="2099369250"/>
    <n v="8348167350"/>
    <n v="1017885"/>
    <x v="2"/>
    <x v="1"/>
  </r>
  <r>
    <x v="6"/>
    <x v="2"/>
    <x v="265"/>
    <n v="2230800"/>
    <n v="1580150"/>
    <n v="650650"/>
    <x v="199"/>
    <n v="10447536600"/>
    <n v="2099369250"/>
    <n v="8348167350"/>
    <n v="1017885"/>
    <x v="2"/>
    <x v="1"/>
  </r>
  <r>
    <x v="0"/>
    <x v="2"/>
    <x v="266"/>
    <n v="1359600"/>
    <n v="963050"/>
    <n v="396550"/>
    <x v="200"/>
    <n v="10447536600"/>
    <n v="2099369250"/>
    <n v="8348167350"/>
    <n v="1017885"/>
    <x v="2"/>
    <x v="1"/>
  </r>
  <r>
    <x v="8"/>
    <x v="1"/>
    <x v="267"/>
    <n v="30015000"/>
    <n v="22011000"/>
    <n v="8004000"/>
    <x v="199"/>
    <n v="10447536600"/>
    <n v="2099369250"/>
    <n v="8348167350"/>
    <n v="1017885"/>
    <x v="2"/>
    <x v="1"/>
  </r>
  <r>
    <x v="6"/>
    <x v="6"/>
    <x v="268"/>
    <n v="1669500"/>
    <n v="1240200"/>
    <n v="429300"/>
    <x v="197"/>
    <n v="10447536600"/>
    <n v="2099369250"/>
    <n v="8348167350"/>
    <n v="1017885"/>
    <x v="2"/>
    <x v="1"/>
  </r>
  <r>
    <x v="9"/>
    <x v="1"/>
    <x v="269"/>
    <n v="3120000"/>
    <n v="2288000"/>
    <n v="832000"/>
    <x v="201"/>
    <n v="10447536600"/>
    <n v="2099369250"/>
    <n v="8348167350"/>
    <n v="1017885"/>
    <x v="2"/>
    <x v="1"/>
  </r>
  <r>
    <x v="4"/>
    <x v="3"/>
    <x v="270"/>
    <n v="61065000"/>
    <n v="51566000"/>
    <n v="9499000"/>
    <x v="191"/>
    <n v="10447536600"/>
    <n v="2099369250"/>
    <n v="8348167350"/>
    <n v="1017885"/>
    <x v="2"/>
    <x v="1"/>
  </r>
  <r>
    <x v="3"/>
    <x v="1"/>
    <x v="271"/>
    <n v="44010000"/>
    <n v="32274000"/>
    <n v="11736000"/>
    <x v="202"/>
    <n v="10447536600"/>
    <n v="2099369250"/>
    <n v="8348167350"/>
    <n v="1017885"/>
    <x v="2"/>
    <x v="1"/>
  </r>
  <r>
    <x v="7"/>
    <x v="0"/>
    <x v="272"/>
    <n v="10415000"/>
    <n v="8748600"/>
    <n v="1666400"/>
    <x v="198"/>
    <n v="10447536600"/>
    <n v="2099369250"/>
    <n v="8348167350"/>
    <n v="1017885"/>
    <x v="2"/>
    <x v="1"/>
  </r>
  <r>
    <x v="6"/>
    <x v="5"/>
    <x v="273"/>
    <n v="115200"/>
    <n v="76800"/>
    <n v="38400"/>
    <x v="203"/>
    <n v="10447536600"/>
    <n v="2099369250"/>
    <n v="8348167350"/>
    <n v="1017885"/>
    <x v="3"/>
    <x v="1"/>
  </r>
  <r>
    <x v="1"/>
    <x v="6"/>
    <x v="274"/>
    <n v="4714500"/>
    <n v="3502200"/>
    <n v="1212300"/>
    <x v="204"/>
    <n v="10447536600"/>
    <n v="2099369250"/>
    <n v="8348167350"/>
    <n v="1017885"/>
    <x v="3"/>
    <x v="1"/>
  </r>
  <r>
    <x v="6"/>
    <x v="3"/>
    <x v="275"/>
    <n v="43650000"/>
    <n v="36860000"/>
    <n v="6790000"/>
    <x v="205"/>
    <n v="10447536600"/>
    <n v="2099369250"/>
    <n v="8348167350"/>
    <n v="1017885"/>
    <x v="3"/>
    <x v="1"/>
  </r>
  <r>
    <x v="5"/>
    <x v="3"/>
    <x v="276"/>
    <n v="42390000"/>
    <n v="35796000"/>
    <n v="6594000"/>
    <x v="206"/>
    <n v="10447536600"/>
    <n v="2099369250"/>
    <n v="8348167350"/>
    <n v="1017885"/>
    <x v="3"/>
    <x v="1"/>
  </r>
  <r>
    <x v="0"/>
    <x v="1"/>
    <x v="277"/>
    <n v="9435000"/>
    <n v="6919000"/>
    <n v="2516000"/>
    <x v="207"/>
    <n v="10447536600"/>
    <n v="2099369250"/>
    <n v="8348167350"/>
    <n v="1017885"/>
    <x v="3"/>
    <x v="1"/>
  </r>
  <r>
    <x v="4"/>
    <x v="5"/>
    <x v="278"/>
    <n v="2455200"/>
    <n v="1636800"/>
    <n v="818400"/>
    <x v="204"/>
    <n v="10447536600"/>
    <n v="2099369250"/>
    <n v="8348167350"/>
    <n v="1017885"/>
    <x v="3"/>
    <x v="1"/>
  </r>
  <r>
    <x v="7"/>
    <x v="4"/>
    <x v="279"/>
    <n v="4005000"/>
    <n v="2403000"/>
    <n v="1602000"/>
    <x v="208"/>
    <n v="10447536600"/>
    <n v="2099369250"/>
    <n v="8348167350"/>
    <n v="1017885"/>
    <x v="3"/>
    <x v="1"/>
  </r>
  <r>
    <x v="7"/>
    <x v="6"/>
    <x v="103"/>
    <n v="7805000"/>
    <n v="5798000"/>
    <n v="2007000"/>
    <x v="209"/>
    <n v="10447536600"/>
    <n v="2099369250"/>
    <n v="8348167350"/>
    <n v="1017885"/>
    <x v="3"/>
    <x v="1"/>
  </r>
  <r>
    <x v="0"/>
    <x v="6"/>
    <x v="280"/>
    <n v="5684000"/>
    <n v="4222400"/>
    <n v="1461600"/>
    <x v="210"/>
    <n v="10447536600"/>
    <n v="2099369250"/>
    <n v="8348167350"/>
    <n v="1017885"/>
    <x v="3"/>
    <x v="1"/>
  </r>
  <r>
    <x v="5"/>
    <x v="3"/>
    <x v="281"/>
    <n v="110790000"/>
    <n v="93556000"/>
    <n v="17234000"/>
    <x v="204"/>
    <n v="10447536600"/>
    <n v="2099369250"/>
    <n v="8348167350"/>
    <n v="1017885"/>
    <x v="3"/>
    <x v="1"/>
  </r>
  <r>
    <x v="8"/>
    <x v="4"/>
    <x v="159"/>
    <n v="7863000"/>
    <n v="4717800"/>
    <n v="3145200"/>
    <x v="211"/>
    <n v="10447536600"/>
    <n v="2099369250"/>
    <n v="8348167350"/>
    <n v="1017885"/>
    <x v="3"/>
    <x v="1"/>
  </r>
  <r>
    <x v="3"/>
    <x v="2"/>
    <x v="282"/>
    <n v="3535200"/>
    <n v="2504100"/>
    <n v="1031100"/>
    <x v="209"/>
    <n v="10447536600"/>
    <n v="2099369250"/>
    <n v="8348167350"/>
    <n v="1017885"/>
    <x v="3"/>
    <x v="1"/>
  </r>
  <r>
    <x v="3"/>
    <x v="2"/>
    <x v="283"/>
    <n v="477600"/>
    <n v="338300"/>
    <n v="139300"/>
    <x v="212"/>
    <n v="10447536600"/>
    <n v="2099369250"/>
    <n v="8348167350"/>
    <n v="1017885"/>
    <x v="3"/>
    <x v="1"/>
  </r>
  <r>
    <x v="2"/>
    <x v="3"/>
    <x v="284"/>
    <n v="44325000"/>
    <n v="37430000"/>
    <n v="6895000"/>
    <x v="212"/>
    <n v="10447536600"/>
    <n v="2099369250"/>
    <n v="8348167350"/>
    <n v="1017885"/>
    <x v="3"/>
    <x v="1"/>
  </r>
  <r>
    <x v="3"/>
    <x v="5"/>
    <x v="285"/>
    <n v="2786400"/>
    <n v="1857600"/>
    <n v="928800"/>
    <x v="213"/>
    <n v="10447536600"/>
    <n v="2099369250"/>
    <n v="8348167350"/>
    <n v="1017885"/>
    <x v="3"/>
    <x v="1"/>
  </r>
  <r>
    <x v="3"/>
    <x v="4"/>
    <x v="286"/>
    <n v="5835000"/>
    <n v="3501000"/>
    <n v="2334000"/>
    <x v="214"/>
    <n v="10447536600"/>
    <n v="2099369250"/>
    <n v="8348167350"/>
    <n v="1017885"/>
    <x v="3"/>
    <x v="1"/>
  </r>
  <r>
    <x v="2"/>
    <x v="6"/>
    <x v="287"/>
    <n v="1585500"/>
    <n v="1177800"/>
    <n v="407700"/>
    <x v="207"/>
    <n v="10447536600"/>
    <n v="2099369250"/>
    <n v="8348167350"/>
    <n v="1017885"/>
    <x v="3"/>
    <x v="1"/>
  </r>
  <r>
    <x v="1"/>
    <x v="3"/>
    <x v="288"/>
    <n v="127305000"/>
    <n v="107502000"/>
    <n v="19803000"/>
    <x v="215"/>
    <n v="10447536600"/>
    <n v="2099369250"/>
    <n v="8348167350"/>
    <n v="1017885"/>
    <x v="3"/>
    <x v="1"/>
  </r>
  <r>
    <x v="8"/>
    <x v="5"/>
    <x v="289"/>
    <n v="3264000"/>
    <n v="2176000"/>
    <n v="1088000"/>
    <x v="216"/>
    <n v="10447536600"/>
    <n v="2099369250"/>
    <n v="8348167350"/>
    <n v="1017885"/>
    <x v="4"/>
    <x v="1"/>
  </r>
  <r>
    <x v="6"/>
    <x v="3"/>
    <x v="290"/>
    <n v="36315000"/>
    <n v="30666000"/>
    <n v="5649000"/>
    <x v="217"/>
    <n v="10447536600"/>
    <n v="2099369250"/>
    <n v="8348167350"/>
    <n v="1017885"/>
    <x v="4"/>
    <x v="1"/>
  </r>
  <r>
    <x v="4"/>
    <x v="1"/>
    <x v="291"/>
    <n v="23550000"/>
    <n v="17270000"/>
    <n v="6280000"/>
    <x v="218"/>
    <n v="10447536600"/>
    <n v="2099369250"/>
    <n v="8348167350"/>
    <n v="1017885"/>
    <x v="4"/>
    <x v="1"/>
  </r>
  <r>
    <x v="2"/>
    <x v="1"/>
    <x v="292"/>
    <n v="28005000"/>
    <n v="20537000"/>
    <n v="7468000"/>
    <x v="217"/>
    <n v="10447536600"/>
    <n v="2099369250"/>
    <n v="8348167350"/>
    <n v="1017885"/>
    <x v="4"/>
    <x v="1"/>
  </r>
  <r>
    <x v="5"/>
    <x v="3"/>
    <x v="293"/>
    <n v="33570000"/>
    <n v="28348000"/>
    <n v="5222000"/>
    <x v="219"/>
    <n v="10447536600"/>
    <n v="2099369250"/>
    <n v="8348167350"/>
    <n v="1017885"/>
    <x v="4"/>
    <x v="1"/>
  </r>
  <r>
    <x v="1"/>
    <x v="5"/>
    <x v="294"/>
    <n v="2509200"/>
    <n v="1672800"/>
    <n v="836400"/>
    <x v="220"/>
    <n v="10447536600"/>
    <n v="2099369250"/>
    <n v="8348167350"/>
    <n v="1017885"/>
    <x v="4"/>
    <x v="1"/>
  </r>
  <r>
    <x v="1"/>
    <x v="1"/>
    <x v="295"/>
    <n v="41790000"/>
    <n v="30646000"/>
    <n v="11144000"/>
    <x v="221"/>
    <n v="10447536600"/>
    <n v="2099369250"/>
    <n v="8348167350"/>
    <n v="1017885"/>
    <x v="4"/>
    <x v="1"/>
  </r>
  <r>
    <x v="6"/>
    <x v="6"/>
    <x v="296"/>
    <n v="8491000"/>
    <n v="6307600"/>
    <n v="2183400"/>
    <x v="219"/>
    <n v="10447536600"/>
    <n v="2099369250"/>
    <n v="8348167350"/>
    <n v="1017885"/>
    <x v="4"/>
    <x v="1"/>
  </r>
  <r>
    <x v="0"/>
    <x v="2"/>
    <x v="297"/>
    <n v="1932000"/>
    <n v="1368500"/>
    <n v="563500"/>
    <x v="222"/>
    <n v="10447536600"/>
    <n v="2099369250"/>
    <n v="8348167350"/>
    <n v="1017885"/>
    <x v="4"/>
    <x v="1"/>
  </r>
  <r>
    <x v="8"/>
    <x v="1"/>
    <x v="298"/>
    <n v="19590000"/>
    <n v="14366000"/>
    <n v="5224000"/>
    <x v="223"/>
    <n v="10447536600"/>
    <n v="2099369250"/>
    <n v="8348167350"/>
    <n v="1017885"/>
    <x v="4"/>
    <x v="1"/>
  </r>
  <r>
    <x v="2"/>
    <x v="4"/>
    <x v="299"/>
    <n v="1599000"/>
    <n v="959400"/>
    <n v="639600"/>
    <x v="224"/>
    <n v="10447536600"/>
    <n v="2099369250"/>
    <n v="8348167350"/>
    <n v="1017885"/>
    <x v="4"/>
    <x v="1"/>
  </r>
  <r>
    <x v="8"/>
    <x v="6"/>
    <x v="114"/>
    <n v="8743000"/>
    <n v="6494800"/>
    <n v="2248200"/>
    <x v="225"/>
    <n v="10447536600"/>
    <n v="2099369250"/>
    <n v="8348167350"/>
    <n v="1017885"/>
    <x v="4"/>
    <x v="1"/>
  </r>
  <r>
    <x v="6"/>
    <x v="4"/>
    <x v="300"/>
    <n v="2259000"/>
    <n v="1355400"/>
    <n v="903600"/>
    <x v="223"/>
    <n v="10447536600"/>
    <n v="2099369250"/>
    <n v="8348167350"/>
    <n v="1017885"/>
    <x v="4"/>
    <x v="1"/>
  </r>
  <r>
    <x v="0"/>
    <x v="1"/>
    <x v="301"/>
    <n v="38835000"/>
    <n v="28479000"/>
    <n v="10356000"/>
    <x v="226"/>
    <n v="10447536600"/>
    <n v="2099369250"/>
    <n v="8348167350"/>
    <n v="1017885"/>
    <x v="4"/>
    <x v="1"/>
  </r>
  <r>
    <x v="8"/>
    <x v="0"/>
    <x v="302"/>
    <n v="5685000"/>
    <n v="4775400"/>
    <n v="909600"/>
    <x v="227"/>
    <n v="10447536600"/>
    <n v="2099369250"/>
    <n v="8348167350"/>
    <n v="1017885"/>
    <x v="4"/>
    <x v="1"/>
  </r>
  <r>
    <x v="0"/>
    <x v="6"/>
    <x v="303"/>
    <n v="7378000"/>
    <n v="5480800"/>
    <n v="1897200"/>
    <x v="225"/>
    <n v="10447536600"/>
    <n v="2099369250"/>
    <n v="8348167350"/>
    <n v="1017885"/>
    <x v="4"/>
    <x v="1"/>
  </r>
  <r>
    <x v="8"/>
    <x v="4"/>
    <x v="304"/>
    <n v="8058000"/>
    <n v="4834800"/>
    <n v="3223200"/>
    <x v="221"/>
    <n v="10447536600"/>
    <n v="2099369250"/>
    <n v="8348167350"/>
    <n v="1017885"/>
    <x v="4"/>
    <x v="1"/>
  </r>
  <r>
    <x v="9"/>
    <x v="1"/>
    <x v="305"/>
    <n v="14040000"/>
    <n v="10296000"/>
    <n v="3744000"/>
    <x v="221"/>
    <n v="10447536600"/>
    <n v="2099369250"/>
    <n v="8348167350"/>
    <n v="1017885"/>
    <x v="4"/>
    <x v="1"/>
  </r>
  <r>
    <x v="9"/>
    <x v="6"/>
    <x v="306"/>
    <n v="5211500"/>
    <n v="3871400"/>
    <n v="1340100"/>
    <x v="228"/>
    <n v="10447536600"/>
    <n v="2099369250"/>
    <n v="8348167350"/>
    <n v="1017885"/>
    <x v="4"/>
    <x v="1"/>
  </r>
  <r>
    <x v="5"/>
    <x v="6"/>
    <x v="307"/>
    <n v="8421000"/>
    <n v="6255600"/>
    <n v="2165400"/>
    <x v="229"/>
    <n v="10447536600"/>
    <n v="2099369250"/>
    <n v="8348167350"/>
    <n v="1017885"/>
    <x v="4"/>
    <x v="1"/>
  </r>
  <r>
    <x v="8"/>
    <x v="1"/>
    <x v="308"/>
    <n v="10665000"/>
    <n v="7821000"/>
    <n v="2844000"/>
    <x v="228"/>
    <n v="10447536600"/>
    <n v="2099369250"/>
    <n v="8348167350"/>
    <n v="1017885"/>
    <x v="4"/>
    <x v="1"/>
  </r>
  <r>
    <x v="8"/>
    <x v="3"/>
    <x v="100"/>
    <n v="36180000"/>
    <n v="30552000"/>
    <n v="5628000"/>
    <x v="228"/>
    <n v="10447536600"/>
    <n v="2099369250"/>
    <n v="8348167350"/>
    <n v="1017885"/>
    <x v="4"/>
    <x v="1"/>
  </r>
  <r>
    <x v="0"/>
    <x v="6"/>
    <x v="309"/>
    <n v="10293500"/>
    <n v="7646600"/>
    <n v="2646900"/>
    <x v="230"/>
    <n v="10447536600"/>
    <n v="2099369250"/>
    <n v="8348167350"/>
    <n v="1017885"/>
    <x v="4"/>
    <x v="1"/>
  </r>
  <r>
    <x v="5"/>
    <x v="4"/>
    <x v="310"/>
    <n v="7206000"/>
    <n v="4323600"/>
    <n v="2882400"/>
    <x v="222"/>
    <n v="10447536600"/>
    <n v="2099369250"/>
    <n v="8348167350"/>
    <n v="1017885"/>
    <x v="4"/>
    <x v="1"/>
  </r>
  <r>
    <x v="3"/>
    <x v="5"/>
    <x v="311"/>
    <n v="3482400"/>
    <n v="2321600"/>
    <n v="1160800"/>
    <x v="231"/>
    <n v="10447536600"/>
    <n v="2099369250"/>
    <n v="8348167350"/>
    <n v="1017885"/>
    <x v="5"/>
    <x v="1"/>
  </r>
  <r>
    <x v="8"/>
    <x v="4"/>
    <x v="312"/>
    <n v="3543000"/>
    <n v="2125800"/>
    <n v="1417200"/>
    <x v="232"/>
    <n v="10447536600"/>
    <n v="2099369250"/>
    <n v="8348167350"/>
    <n v="1017885"/>
    <x v="5"/>
    <x v="1"/>
  </r>
  <r>
    <x v="0"/>
    <x v="3"/>
    <x v="313"/>
    <n v="110250000"/>
    <n v="93100000"/>
    <n v="17150000"/>
    <x v="233"/>
    <n v="10447536600"/>
    <n v="2099369250"/>
    <n v="8348167350"/>
    <n v="1017885"/>
    <x v="5"/>
    <x v="1"/>
  </r>
  <r>
    <x v="1"/>
    <x v="4"/>
    <x v="314"/>
    <n v="8634000"/>
    <n v="5180400"/>
    <n v="3453600"/>
    <x v="234"/>
    <n v="10447536600"/>
    <n v="2099369250"/>
    <n v="8348167350"/>
    <n v="1017885"/>
    <x v="5"/>
    <x v="1"/>
  </r>
  <r>
    <x v="0"/>
    <x v="0"/>
    <x v="315"/>
    <n v="3620000"/>
    <n v="3040800"/>
    <n v="579200"/>
    <x v="235"/>
    <n v="10447536600"/>
    <n v="2099369250"/>
    <n v="8348167350"/>
    <n v="1017885"/>
    <x v="5"/>
    <x v="1"/>
  </r>
  <r>
    <x v="1"/>
    <x v="4"/>
    <x v="316"/>
    <n v="2208000"/>
    <n v="1324800"/>
    <n v="883200"/>
    <x v="236"/>
    <n v="10447536600"/>
    <n v="2099369250"/>
    <n v="8348167350"/>
    <n v="1017885"/>
    <x v="5"/>
    <x v="1"/>
  </r>
  <r>
    <x v="8"/>
    <x v="1"/>
    <x v="317"/>
    <n v="34575000"/>
    <n v="25355000"/>
    <n v="9220000"/>
    <x v="237"/>
    <n v="10447536600"/>
    <n v="2099369250"/>
    <n v="8348167350"/>
    <n v="1017885"/>
    <x v="5"/>
    <x v="1"/>
  </r>
  <r>
    <x v="6"/>
    <x v="5"/>
    <x v="318"/>
    <n v="2076000"/>
    <n v="1384000"/>
    <n v="692000"/>
    <x v="238"/>
    <n v="10447536600"/>
    <n v="2099369250"/>
    <n v="8348167350"/>
    <n v="1017885"/>
    <x v="5"/>
    <x v="1"/>
  </r>
  <r>
    <x v="8"/>
    <x v="2"/>
    <x v="319"/>
    <n v="3117600"/>
    <n v="2208300"/>
    <n v="909300"/>
    <x v="239"/>
    <n v="10447536600"/>
    <n v="2099369250"/>
    <n v="8348167350"/>
    <n v="1017885"/>
    <x v="5"/>
    <x v="1"/>
  </r>
  <r>
    <x v="7"/>
    <x v="4"/>
    <x v="320"/>
    <n v="498000"/>
    <n v="298800"/>
    <n v="199200"/>
    <x v="240"/>
    <n v="10447536600"/>
    <n v="2099369250"/>
    <n v="8348167350"/>
    <n v="1017885"/>
    <x v="5"/>
    <x v="1"/>
  </r>
  <r>
    <x v="4"/>
    <x v="5"/>
    <x v="258"/>
    <n v="1659600"/>
    <n v="1106400"/>
    <n v="553200"/>
    <x v="241"/>
    <n v="10447536600"/>
    <n v="2099369250"/>
    <n v="8348167350"/>
    <n v="1017885"/>
    <x v="5"/>
    <x v="1"/>
  </r>
  <r>
    <x v="0"/>
    <x v="0"/>
    <x v="321"/>
    <n v="13850000"/>
    <n v="11634000"/>
    <n v="2216000"/>
    <x v="242"/>
    <n v="10447536600"/>
    <n v="2099369250"/>
    <n v="8348167350"/>
    <n v="1017885"/>
    <x v="5"/>
    <x v="1"/>
  </r>
  <r>
    <x v="6"/>
    <x v="3"/>
    <x v="322"/>
    <n v="20655000"/>
    <n v="17442000"/>
    <n v="3213000"/>
    <x v="243"/>
    <n v="10447536600"/>
    <n v="2099369250"/>
    <n v="8348167350"/>
    <n v="1017885"/>
    <x v="5"/>
    <x v="1"/>
  </r>
  <r>
    <x v="9"/>
    <x v="1"/>
    <x v="323"/>
    <n v="11160000"/>
    <n v="8184000"/>
    <n v="2976000"/>
    <x v="244"/>
    <n v="10447536600"/>
    <n v="2099369250"/>
    <n v="8348167350"/>
    <n v="1017885"/>
    <x v="5"/>
    <x v="1"/>
  </r>
  <r>
    <x v="5"/>
    <x v="5"/>
    <x v="324"/>
    <n v="3564000"/>
    <n v="2376000"/>
    <n v="1188000"/>
    <x v="243"/>
    <n v="10447536600"/>
    <n v="2099369250"/>
    <n v="8348167350"/>
    <n v="1017885"/>
    <x v="5"/>
    <x v="1"/>
  </r>
  <r>
    <x v="8"/>
    <x v="2"/>
    <x v="325"/>
    <n v="482400"/>
    <n v="341700"/>
    <n v="140700"/>
    <x v="245"/>
    <n v="10447536600"/>
    <n v="2099369250"/>
    <n v="8348167350"/>
    <n v="1017885"/>
    <x v="5"/>
    <x v="1"/>
  </r>
  <r>
    <x v="0"/>
    <x v="5"/>
    <x v="326"/>
    <n v="3556800"/>
    <n v="2371200"/>
    <n v="1185600"/>
    <x v="246"/>
    <n v="10447536600"/>
    <n v="2099369250"/>
    <n v="8348167350"/>
    <n v="1017885"/>
    <x v="5"/>
    <x v="1"/>
  </r>
  <r>
    <x v="4"/>
    <x v="6"/>
    <x v="327"/>
    <n v="3563000"/>
    <n v="2646800"/>
    <n v="916200"/>
    <x v="247"/>
    <n v="10447536600"/>
    <n v="2099369250"/>
    <n v="8348167350"/>
    <n v="1017885"/>
    <x v="5"/>
    <x v="1"/>
  </r>
  <r>
    <x v="0"/>
    <x v="6"/>
    <x v="328"/>
    <n v="612500"/>
    <n v="455000"/>
    <n v="157500"/>
    <x v="248"/>
    <n v="10447536600"/>
    <n v="2099369250"/>
    <n v="8348167350"/>
    <n v="1017885"/>
    <x v="5"/>
    <x v="1"/>
  </r>
  <r>
    <x v="2"/>
    <x v="3"/>
    <x v="329"/>
    <n v="127845000"/>
    <n v="107958000"/>
    <n v="19887000"/>
    <x v="249"/>
    <n v="10447536600"/>
    <n v="2099369250"/>
    <n v="8348167350"/>
    <n v="1017885"/>
    <x v="6"/>
    <x v="1"/>
  </r>
  <r>
    <x v="5"/>
    <x v="2"/>
    <x v="330"/>
    <n v="1615200"/>
    <n v="1144100"/>
    <n v="471100"/>
    <x v="250"/>
    <n v="10447536600"/>
    <n v="2099369250"/>
    <n v="8348167350"/>
    <n v="1017885"/>
    <x v="6"/>
    <x v="1"/>
  </r>
  <r>
    <x v="5"/>
    <x v="3"/>
    <x v="331"/>
    <n v="94500000"/>
    <n v="79800000"/>
    <n v="14700000"/>
    <x v="251"/>
    <n v="10447536600"/>
    <n v="2099369250"/>
    <n v="8348167350"/>
    <n v="1017885"/>
    <x v="6"/>
    <x v="1"/>
  </r>
  <r>
    <x v="0"/>
    <x v="3"/>
    <x v="15"/>
    <n v="131130000"/>
    <n v="110732000"/>
    <n v="20398000"/>
    <x v="252"/>
    <n v="10447536600"/>
    <n v="2099369250"/>
    <n v="8348167350"/>
    <n v="1017885"/>
    <x v="6"/>
    <x v="1"/>
  </r>
  <r>
    <x v="0"/>
    <x v="2"/>
    <x v="332"/>
    <n v="1204800"/>
    <n v="853400"/>
    <n v="351400"/>
    <x v="252"/>
    <n v="10447536600"/>
    <n v="2099369250"/>
    <n v="8348167350"/>
    <n v="1017885"/>
    <x v="6"/>
    <x v="1"/>
  </r>
  <r>
    <x v="2"/>
    <x v="1"/>
    <x v="333"/>
    <n v="1290000"/>
    <n v="946000"/>
    <n v="344000"/>
    <x v="253"/>
    <n v="10447536600"/>
    <n v="2099369250"/>
    <n v="8348167350"/>
    <n v="1017885"/>
    <x v="6"/>
    <x v="1"/>
  </r>
  <r>
    <x v="3"/>
    <x v="6"/>
    <x v="334"/>
    <n v="4550000"/>
    <n v="3380000"/>
    <n v="1170000"/>
    <x v="251"/>
    <n v="10447536600"/>
    <n v="2099369250"/>
    <n v="8348167350"/>
    <n v="1017885"/>
    <x v="6"/>
    <x v="1"/>
  </r>
  <r>
    <x v="4"/>
    <x v="1"/>
    <x v="335"/>
    <n v="37170000"/>
    <n v="27258000"/>
    <n v="9912000"/>
    <x v="251"/>
    <n v="10447536600"/>
    <n v="2099369250"/>
    <n v="8348167350"/>
    <n v="1017885"/>
    <x v="6"/>
    <x v="1"/>
  </r>
  <r>
    <x v="8"/>
    <x v="4"/>
    <x v="336"/>
    <n v="6168000"/>
    <n v="3700800"/>
    <n v="2467200"/>
    <x v="254"/>
    <n v="10447536600"/>
    <n v="2099369250"/>
    <n v="8348167350"/>
    <n v="1017885"/>
    <x v="6"/>
    <x v="1"/>
  </r>
  <r>
    <x v="8"/>
    <x v="0"/>
    <x v="337"/>
    <n v="8285000"/>
    <n v="6959400"/>
    <n v="1325600"/>
    <x v="255"/>
    <n v="10447536600"/>
    <n v="2099369250"/>
    <n v="8348167350"/>
    <n v="1017885"/>
    <x v="6"/>
    <x v="1"/>
  </r>
  <r>
    <x v="6"/>
    <x v="4"/>
    <x v="338"/>
    <n v="3471000"/>
    <n v="2082600"/>
    <n v="1388400"/>
    <x v="256"/>
    <n v="10447536600"/>
    <n v="2099369250"/>
    <n v="8348167350"/>
    <n v="1017885"/>
    <x v="6"/>
    <x v="1"/>
  </r>
  <r>
    <x v="3"/>
    <x v="2"/>
    <x v="339"/>
    <n v="694800"/>
    <n v="492150"/>
    <n v="202650"/>
    <x v="255"/>
    <n v="10447536600"/>
    <n v="2099369250"/>
    <n v="8348167350"/>
    <n v="1017885"/>
    <x v="6"/>
    <x v="1"/>
  </r>
  <r>
    <x v="0"/>
    <x v="0"/>
    <x v="245"/>
    <n v="315000"/>
    <n v="264600"/>
    <n v="50400"/>
    <x v="257"/>
    <n v="10447536600"/>
    <n v="2099369250"/>
    <n v="8348167350"/>
    <n v="1017885"/>
    <x v="6"/>
    <x v="1"/>
  </r>
  <r>
    <x v="9"/>
    <x v="5"/>
    <x v="340"/>
    <n v="2370000"/>
    <n v="1580000"/>
    <n v="790000"/>
    <x v="258"/>
    <n v="10447536600"/>
    <n v="2099369250"/>
    <n v="8348167350"/>
    <n v="1017885"/>
    <x v="6"/>
    <x v="1"/>
  </r>
  <r>
    <x v="9"/>
    <x v="5"/>
    <x v="341"/>
    <n v="1534800"/>
    <n v="1023200"/>
    <n v="511600"/>
    <x v="259"/>
    <n v="10447536600"/>
    <n v="2099369250"/>
    <n v="8348167350"/>
    <n v="1017885"/>
    <x v="6"/>
    <x v="1"/>
  </r>
  <r>
    <x v="8"/>
    <x v="6"/>
    <x v="342"/>
    <n v="1137500"/>
    <n v="845000"/>
    <n v="292500"/>
    <x v="252"/>
    <n v="10447536600"/>
    <n v="2099369250"/>
    <n v="8348167350"/>
    <n v="1017885"/>
    <x v="6"/>
    <x v="1"/>
  </r>
  <r>
    <x v="3"/>
    <x v="5"/>
    <x v="343"/>
    <n v="890400"/>
    <n v="593600"/>
    <n v="296800"/>
    <x v="260"/>
    <n v="10447536600"/>
    <n v="2099369250"/>
    <n v="8348167350"/>
    <n v="1017885"/>
    <x v="7"/>
    <x v="1"/>
  </r>
  <r>
    <x v="9"/>
    <x v="6"/>
    <x v="344"/>
    <n v="514500"/>
    <n v="382200"/>
    <n v="132300"/>
    <x v="261"/>
    <n v="10447536600"/>
    <n v="2099369250"/>
    <n v="8348167350"/>
    <n v="1017885"/>
    <x v="7"/>
    <x v="1"/>
  </r>
  <r>
    <x v="0"/>
    <x v="4"/>
    <x v="345"/>
    <n v="312000"/>
    <n v="187200"/>
    <n v="124800"/>
    <x v="262"/>
    <n v="10447536600"/>
    <n v="2099369250"/>
    <n v="8348167350"/>
    <n v="1017885"/>
    <x v="7"/>
    <x v="1"/>
  </r>
  <r>
    <x v="5"/>
    <x v="0"/>
    <x v="346"/>
    <n v="10850000"/>
    <n v="9114000"/>
    <n v="1736000"/>
    <x v="263"/>
    <n v="10447536600"/>
    <n v="2099369250"/>
    <n v="8348167350"/>
    <n v="1017885"/>
    <x v="7"/>
    <x v="1"/>
  </r>
  <r>
    <x v="3"/>
    <x v="6"/>
    <x v="347"/>
    <n v="10430000"/>
    <n v="7748000"/>
    <n v="2682000"/>
    <x v="262"/>
    <n v="10447536600"/>
    <n v="2099369250"/>
    <n v="8348167350"/>
    <n v="1017885"/>
    <x v="7"/>
    <x v="1"/>
  </r>
  <r>
    <x v="0"/>
    <x v="0"/>
    <x v="348"/>
    <n v="12970000"/>
    <n v="10894800"/>
    <n v="2075200"/>
    <x v="264"/>
    <n v="10447536600"/>
    <n v="2099369250"/>
    <n v="8348167350"/>
    <n v="1017885"/>
    <x v="7"/>
    <x v="1"/>
  </r>
  <r>
    <x v="5"/>
    <x v="5"/>
    <x v="349"/>
    <n v="969600"/>
    <n v="646400"/>
    <n v="323200"/>
    <x v="265"/>
    <n v="10447536600"/>
    <n v="2099369250"/>
    <n v="8348167350"/>
    <n v="1017885"/>
    <x v="7"/>
    <x v="1"/>
  </r>
  <r>
    <x v="8"/>
    <x v="3"/>
    <x v="350"/>
    <n v="35865000"/>
    <n v="30286000"/>
    <n v="5579000"/>
    <x v="266"/>
    <n v="10447536600"/>
    <n v="2099369250"/>
    <n v="8348167350"/>
    <n v="1017885"/>
    <x v="7"/>
    <x v="1"/>
  </r>
  <r>
    <x v="5"/>
    <x v="4"/>
    <x v="351"/>
    <n v="261000"/>
    <n v="156600"/>
    <n v="104400"/>
    <x v="267"/>
    <n v="10447536600"/>
    <n v="2099369250"/>
    <n v="8348167350"/>
    <n v="1017885"/>
    <x v="7"/>
    <x v="1"/>
  </r>
  <r>
    <x v="3"/>
    <x v="1"/>
    <x v="352"/>
    <n v="23970000"/>
    <n v="17578000"/>
    <n v="6392000"/>
    <x v="268"/>
    <n v="10447536600"/>
    <n v="2099369250"/>
    <n v="8348167350"/>
    <n v="1017885"/>
    <x v="7"/>
    <x v="1"/>
  </r>
  <r>
    <x v="7"/>
    <x v="6"/>
    <x v="353"/>
    <n v="2222500"/>
    <n v="1651000"/>
    <n v="571500"/>
    <x v="269"/>
    <n v="10447536600"/>
    <n v="2099369250"/>
    <n v="8348167350"/>
    <n v="1017885"/>
    <x v="7"/>
    <x v="1"/>
  </r>
  <r>
    <x v="0"/>
    <x v="3"/>
    <x v="354"/>
    <n v="34425000"/>
    <n v="29070000"/>
    <n v="5355000"/>
    <x v="267"/>
    <n v="10447536600"/>
    <n v="2099369250"/>
    <n v="8348167350"/>
    <n v="1017885"/>
    <x v="7"/>
    <x v="1"/>
  </r>
  <r>
    <x v="5"/>
    <x v="0"/>
    <x v="355"/>
    <n v="14225000"/>
    <n v="11949000"/>
    <n v="2276000"/>
    <x v="265"/>
    <n v="10447536600"/>
    <n v="2099369250"/>
    <n v="8348167350"/>
    <n v="1017885"/>
    <x v="7"/>
    <x v="1"/>
  </r>
  <r>
    <x v="8"/>
    <x v="3"/>
    <x v="356"/>
    <n v="134370000"/>
    <n v="113468000"/>
    <n v="20902000"/>
    <x v="269"/>
    <n v="10447536600"/>
    <n v="2099369250"/>
    <n v="8348167350"/>
    <n v="1017885"/>
    <x v="7"/>
    <x v="1"/>
  </r>
  <r>
    <x v="5"/>
    <x v="2"/>
    <x v="354"/>
    <n v="918000"/>
    <n v="650250"/>
    <n v="267750"/>
    <x v="269"/>
    <n v="10447536600"/>
    <n v="2099369250"/>
    <n v="8348167350"/>
    <n v="1017885"/>
    <x v="7"/>
    <x v="1"/>
  </r>
  <r>
    <x v="6"/>
    <x v="0"/>
    <x v="357"/>
    <n v="8815000"/>
    <n v="7404600"/>
    <n v="1410400"/>
    <x v="270"/>
    <n v="10447536600"/>
    <n v="2099369250"/>
    <n v="8348167350"/>
    <n v="1017885"/>
    <x v="7"/>
    <x v="1"/>
  </r>
  <r>
    <x v="7"/>
    <x v="2"/>
    <x v="358"/>
    <n v="2524800"/>
    <n v="1788400"/>
    <n v="736400"/>
    <x v="271"/>
    <n v="10447536600"/>
    <n v="2099369250"/>
    <n v="8348167350"/>
    <n v="1017885"/>
    <x v="7"/>
    <x v="1"/>
  </r>
  <r>
    <x v="6"/>
    <x v="0"/>
    <x v="359"/>
    <n v="9885000"/>
    <n v="8303400"/>
    <n v="1581600"/>
    <x v="272"/>
    <n v="10447536600"/>
    <n v="2099369250"/>
    <n v="8348167350"/>
    <n v="1017885"/>
    <x v="7"/>
    <x v="1"/>
  </r>
  <r>
    <x v="6"/>
    <x v="2"/>
    <x v="360"/>
    <n v="2144400"/>
    <n v="1518950"/>
    <n v="625450"/>
    <x v="267"/>
    <n v="10447536600"/>
    <n v="2099369250"/>
    <n v="8348167350"/>
    <n v="1017885"/>
    <x v="7"/>
    <x v="1"/>
  </r>
  <r>
    <x v="3"/>
    <x v="0"/>
    <x v="361"/>
    <n v="9235000"/>
    <n v="7757400"/>
    <n v="1477600"/>
    <x v="270"/>
    <n v="10447536600"/>
    <n v="2099369250"/>
    <n v="8348167350"/>
    <n v="1017885"/>
    <x v="7"/>
    <x v="1"/>
  </r>
  <r>
    <x v="2"/>
    <x v="6"/>
    <x v="362"/>
    <n v="7689500"/>
    <n v="5712200"/>
    <n v="1977300"/>
    <x v="265"/>
    <n v="10447536600"/>
    <n v="2099369250"/>
    <n v="8348167350"/>
    <n v="1017885"/>
    <x v="7"/>
    <x v="1"/>
  </r>
  <r>
    <x v="9"/>
    <x v="2"/>
    <x v="363"/>
    <n v="2515200"/>
    <n v="1781600"/>
    <n v="733600"/>
    <x v="273"/>
    <n v="10447536600"/>
    <n v="2099369250"/>
    <n v="8348167350"/>
    <n v="1017885"/>
    <x v="7"/>
    <x v="1"/>
  </r>
  <r>
    <x v="8"/>
    <x v="5"/>
    <x v="364"/>
    <n v="1796400"/>
    <n v="1197600"/>
    <n v="598800"/>
    <x v="274"/>
    <n v="10447536600"/>
    <n v="2099369250"/>
    <n v="8348167350"/>
    <n v="1017885"/>
    <x v="7"/>
    <x v="1"/>
  </r>
  <r>
    <x v="7"/>
    <x v="1"/>
    <x v="365"/>
    <n v="28455000"/>
    <n v="20867000"/>
    <n v="7588000"/>
    <x v="269"/>
    <n v="10447536600"/>
    <n v="2099369250"/>
    <n v="8348167350"/>
    <n v="1017885"/>
    <x v="7"/>
    <x v="1"/>
  </r>
  <r>
    <x v="0"/>
    <x v="3"/>
    <x v="366"/>
    <n v="80640000"/>
    <n v="68096000"/>
    <n v="12544000"/>
    <x v="275"/>
    <n v="10447536600"/>
    <n v="2099369250"/>
    <n v="8348167350"/>
    <n v="1017885"/>
    <x v="7"/>
    <x v="1"/>
  </r>
  <r>
    <x v="5"/>
    <x v="5"/>
    <x v="367"/>
    <n v="1269600"/>
    <n v="846400"/>
    <n v="423200"/>
    <x v="260"/>
    <n v="10447536600"/>
    <n v="2099369250"/>
    <n v="8348167350"/>
    <n v="1017885"/>
    <x v="7"/>
    <x v="1"/>
  </r>
  <r>
    <x v="8"/>
    <x v="4"/>
    <x v="368"/>
    <n v="5133000"/>
    <n v="3079800"/>
    <n v="2053200"/>
    <x v="276"/>
    <n v="10447536600"/>
    <n v="2099369250"/>
    <n v="8348167350"/>
    <n v="1017885"/>
    <x v="7"/>
    <x v="1"/>
  </r>
  <r>
    <x v="4"/>
    <x v="2"/>
    <x v="369"/>
    <n v="679200"/>
    <n v="481100"/>
    <n v="198100"/>
    <x v="277"/>
    <n v="10447536600"/>
    <n v="2099369250"/>
    <n v="8348167350"/>
    <n v="1017885"/>
    <x v="7"/>
    <x v="1"/>
  </r>
  <r>
    <x v="4"/>
    <x v="2"/>
    <x v="370"/>
    <n v="1809600"/>
    <n v="1281800"/>
    <n v="527800"/>
    <x v="278"/>
    <n v="10447536600"/>
    <n v="2099369250"/>
    <n v="8348167350"/>
    <n v="1017885"/>
    <x v="8"/>
    <x v="1"/>
  </r>
  <r>
    <x v="6"/>
    <x v="0"/>
    <x v="371"/>
    <n v="9000000"/>
    <n v="7560000"/>
    <n v="1440000"/>
    <x v="279"/>
    <n v="10447536600"/>
    <n v="2099369250"/>
    <n v="8348167350"/>
    <n v="1017885"/>
    <x v="8"/>
    <x v="1"/>
  </r>
  <r>
    <x v="3"/>
    <x v="1"/>
    <x v="179"/>
    <n v="29460000"/>
    <n v="21604000"/>
    <n v="7856000"/>
    <x v="280"/>
    <n v="10447536600"/>
    <n v="2099369250"/>
    <n v="8348167350"/>
    <n v="1017885"/>
    <x v="8"/>
    <x v="1"/>
  </r>
  <r>
    <x v="6"/>
    <x v="2"/>
    <x v="372"/>
    <n v="378000"/>
    <n v="267750"/>
    <n v="110250"/>
    <x v="281"/>
    <n v="10447536600"/>
    <n v="2099369250"/>
    <n v="8348167350"/>
    <n v="1017885"/>
    <x v="8"/>
    <x v="1"/>
  </r>
  <r>
    <x v="2"/>
    <x v="5"/>
    <x v="373"/>
    <n v="510000"/>
    <n v="340000"/>
    <n v="170000"/>
    <x v="282"/>
    <n v="10447536600"/>
    <n v="2099369250"/>
    <n v="8348167350"/>
    <n v="1017885"/>
    <x v="8"/>
    <x v="1"/>
  </r>
  <r>
    <x v="7"/>
    <x v="3"/>
    <x v="374"/>
    <n v="119745000"/>
    <n v="101118000"/>
    <n v="18627000"/>
    <x v="283"/>
    <n v="10447536600"/>
    <n v="2099369250"/>
    <n v="8348167350"/>
    <n v="1017885"/>
    <x v="8"/>
    <x v="1"/>
  </r>
  <r>
    <x v="7"/>
    <x v="6"/>
    <x v="375"/>
    <n v="8102500"/>
    <n v="6019000"/>
    <n v="2083500"/>
    <x v="284"/>
    <n v="10447536600"/>
    <n v="2099369250"/>
    <n v="8348167350"/>
    <n v="1017885"/>
    <x v="8"/>
    <x v="1"/>
  </r>
  <r>
    <x v="5"/>
    <x v="6"/>
    <x v="376"/>
    <n v="9110500"/>
    <n v="6767800"/>
    <n v="2342700"/>
    <x v="285"/>
    <n v="10447536600"/>
    <n v="2099369250"/>
    <n v="8348167350"/>
    <n v="1017885"/>
    <x v="8"/>
    <x v="1"/>
  </r>
  <r>
    <x v="7"/>
    <x v="0"/>
    <x v="377"/>
    <n v="9815000"/>
    <n v="8244600"/>
    <n v="1570400"/>
    <x v="286"/>
    <n v="10447536600"/>
    <n v="2099369250"/>
    <n v="8348167350"/>
    <n v="1017885"/>
    <x v="8"/>
    <x v="1"/>
  </r>
  <r>
    <x v="0"/>
    <x v="2"/>
    <x v="378"/>
    <n v="2191200"/>
    <n v="1552100"/>
    <n v="639100"/>
    <x v="287"/>
    <n v="10447536600"/>
    <n v="2099369250"/>
    <n v="8348167350"/>
    <n v="1017885"/>
    <x v="8"/>
    <x v="1"/>
  </r>
  <r>
    <x v="5"/>
    <x v="2"/>
    <x v="379"/>
    <n v="2883600"/>
    <n v="2042550"/>
    <n v="841050"/>
    <x v="278"/>
    <n v="10447536600"/>
    <n v="2099369250"/>
    <n v="8348167350"/>
    <n v="1017885"/>
    <x v="8"/>
    <x v="1"/>
  </r>
  <r>
    <x v="1"/>
    <x v="0"/>
    <x v="380"/>
    <n v="1670000"/>
    <n v="1402800"/>
    <n v="267200"/>
    <x v="288"/>
    <n v="10447536600"/>
    <n v="2099369250"/>
    <n v="8348167350"/>
    <n v="1017885"/>
    <x v="8"/>
    <x v="1"/>
  </r>
  <r>
    <x v="5"/>
    <x v="0"/>
    <x v="381"/>
    <n v="5400000"/>
    <n v="4536000"/>
    <n v="864000"/>
    <x v="289"/>
    <n v="10447536600"/>
    <n v="2099369250"/>
    <n v="8348167350"/>
    <n v="1017885"/>
    <x v="8"/>
    <x v="1"/>
  </r>
  <r>
    <x v="9"/>
    <x v="6"/>
    <x v="105"/>
    <n v="8508500"/>
    <n v="6320600"/>
    <n v="2187900"/>
    <x v="290"/>
    <n v="10447536600"/>
    <n v="2099369250"/>
    <n v="8348167350"/>
    <n v="1017885"/>
    <x v="8"/>
    <x v="1"/>
  </r>
  <r>
    <x v="3"/>
    <x v="4"/>
    <x v="382"/>
    <n v="7245000"/>
    <n v="4347000"/>
    <n v="2898000"/>
    <x v="291"/>
    <n v="10447536600"/>
    <n v="2099369250"/>
    <n v="8348167350"/>
    <n v="1017885"/>
    <x v="8"/>
    <x v="1"/>
  </r>
  <r>
    <x v="7"/>
    <x v="2"/>
    <x v="251"/>
    <n v="214800"/>
    <n v="152150"/>
    <n v="62650"/>
    <x v="284"/>
    <n v="10447536600"/>
    <n v="2099369250"/>
    <n v="8348167350"/>
    <n v="1017885"/>
    <x v="8"/>
    <x v="1"/>
  </r>
  <r>
    <x v="2"/>
    <x v="3"/>
    <x v="383"/>
    <n v="97335000"/>
    <n v="82194000"/>
    <n v="15141000"/>
    <x v="292"/>
    <n v="10447536600"/>
    <n v="2099369250"/>
    <n v="8348167350"/>
    <n v="1017885"/>
    <x v="8"/>
    <x v="1"/>
  </r>
  <r>
    <x v="9"/>
    <x v="2"/>
    <x v="384"/>
    <n v="3226800"/>
    <n v="2285650"/>
    <n v="941150"/>
    <x v="293"/>
    <n v="10447536600"/>
    <n v="2099369250"/>
    <n v="8348167350"/>
    <n v="1017885"/>
    <x v="8"/>
    <x v="1"/>
  </r>
  <r>
    <x v="4"/>
    <x v="1"/>
    <x v="385"/>
    <n v="31050000"/>
    <n v="22770000"/>
    <n v="8280000"/>
    <x v="278"/>
    <n v="10447536600"/>
    <n v="2099369250"/>
    <n v="8348167350"/>
    <n v="1017885"/>
    <x v="8"/>
    <x v="1"/>
  </r>
  <r>
    <x v="0"/>
    <x v="2"/>
    <x v="193"/>
    <n v="1311600"/>
    <n v="929050"/>
    <n v="382550"/>
    <x v="294"/>
    <n v="10447536600"/>
    <n v="2099369250"/>
    <n v="8348167350"/>
    <n v="1017885"/>
    <x v="8"/>
    <x v="1"/>
  </r>
  <r>
    <x v="9"/>
    <x v="6"/>
    <x v="386"/>
    <n v="4319000"/>
    <n v="3208400"/>
    <n v="1110600"/>
    <x v="281"/>
    <n v="10447536600"/>
    <n v="2099369250"/>
    <n v="8348167350"/>
    <n v="1017885"/>
    <x v="8"/>
    <x v="1"/>
  </r>
  <r>
    <x v="9"/>
    <x v="2"/>
    <x v="387"/>
    <n v="1302000"/>
    <n v="922250"/>
    <n v="379750"/>
    <x v="295"/>
    <n v="10447536600"/>
    <n v="2099369250"/>
    <n v="8348167350"/>
    <n v="1017885"/>
    <x v="8"/>
    <x v="1"/>
  </r>
  <r>
    <x v="8"/>
    <x v="3"/>
    <x v="388"/>
    <n v="111645000"/>
    <n v="94278000"/>
    <n v="17367000"/>
    <x v="296"/>
    <n v="10447536600"/>
    <n v="2099369250"/>
    <n v="8348167350"/>
    <n v="1017885"/>
    <x v="8"/>
    <x v="1"/>
  </r>
  <r>
    <x v="2"/>
    <x v="3"/>
    <x v="389"/>
    <n v="6795000"/>
    <n v="5738000"/>
    <n v="1057000"/>
    <x v="297"/>
    <n v="10447536600"/>
    <n v="2099369250"/>
    <n v="8348167350"/>
    <n v="1017885"/>
    <x v="9"/>
    <x v="1"/>
  </r>
  <r>
    <x v="2"/>
    <x v="4"/>
    <x v="390"/>
    <n v="2034000"/>
    <n v="1220400"/>
    <n v="813600"/>
    <x v="298"/>
    <n v="10447536600"/>
    <n v="2099369250"/>
    <n v="8348167350"/>
    <n v="1017885"/>
    <x v="9"/>
    <x v="1"/>
  </r>
  <r>
    <x v="0"/>
    <x v="4"/>
    <x v="391"/>
    <n v="8355000"/>
    <n v="5013000"/>
    <n v="3342000"/>
    <x v="299"/>
    <n v="10447536600"/>
    <n v="2099369250"/>
    <n v="8348167350"/>
    <n v="1017885"/>
    <x v="9"/>
    <x v="1"/>
  </r>
  <r>
    <x v="8"/>
    <x v="1"/>
    <x v="392"/>
    <n v="22485000"/>
    <n v="16489000"/>
    <n v="5996000"/>
    <x v="300"/>
    <n v="10447536600"/>
    <n v="2099369250"/>
    <n v="8348167350"/>
    <n v="1017885"/>
    <x v="9"/>
    <x v="1"/>
  </r>
  <r>
    <x v="7"/>
    <x v="4"/>
    <x v="393"/>
    <n v="2589000"/>
    <n v="1553400"/>
    <n v="1035600"/>
    <x v="301"/>
    <n v="10447536600"/>
    <n v="2099369250"/>
    <n v="8348167350"/>
    <n v="1017885"/>
    <x v="9"/>
    <x v="1"/>
  </r>
  <r>
    <x v="4"/>
    <x v="3"/>
    <x v="58"/>
    <n v="3510000"/>
    <n v="2964000"/>
    <n v="546000"/>
    <x v="302"/>
    <n v="10447536600"/>
    <n v="2099369250"/>
    <n v="8348167350"/>
    <n v="1017885"/>
    <x v="9"/>
    <x v="1"/>
  </r>
  <r>
    <x v="7"/>
    <x v="5"/>
    <x v="94"/>
    <n v="440400"/>
    <n v="293600"/>
    <n v="146800"/>
    <x v="303"/>
    <n v="10447536600"/>
    <n v="2099369250"/>
    <n v="8348167350"/>
    <n v="1017885"/>
    <x v="9"/>
    <x v="1"/>
  </r>
  <r>
    <x v="2"/>
    <x v="2"/>
    <x v="394"/>
    <n v="577200"/>
    <n v="408850"/>
    <n v="168350"/>
    <x v="304"/>
    <n v="10447536600"/>
    <n v="2099369250"/>
    <n v="8348167350"/>
    <n v="1017885"/>
    <x v="9"/>
    <x v="1"/>
  </r>
  <r>
    <x v="0"/>
    <x v="6"/>
    <x v="337"/>
    <n v="5799500"/>
    <n v="4308200"/>
    <n v="1491300"/>
    <x v="302"/>
    <n v="10447536600"/>
    <n v="2099369250"/>
    <n v="8348167350"/>
    <n v="1017885"/>
    <x v="9"/>
    <x v="1"/>
  </r>
  <r>
    <x v="1"/>
    <x v="6"/>
    <x v="395"/>
    <n v="9975000"/>
    <n v="7410000"/>
    <n v="2565000"/>
    <x v="298"/>
    <n v="10447536600"/>
    <n v="2099369250"/>
    <n v="8348167350"/>
    <n v="1017885"/>
    <x v="9"/>
    <x v="1"/>
  </r>
  <r>
    <x v="2"/>
    <x v="3"/>
    <x v="396"/>
    <n v="4635000"/>
    <n v="3914000"/>
    <n v="721000"/>
    <x v="305"/>
    <n v="10447536600"/>
    <n v="2099369250"/>
    <n v="8348167350"/>
    <n v="1017885"/>
    <x v="9"/>
    <x v="1"/>
  </r>
  <r>
    <x v="5"/>
    <x v="5"/>
    <x v="358"/>
    <n v="2524800"/>
    <n v="1683200"/>
    <n v="841600"/>
    <x v="306"/>
    <n v="10447536600"/>
    <n v="2099369250"/>
    <n v="8348167350"/>
    <n v="1017885"/>
    <x v="9"/>
    <x v="1"/>
  </r>
  <r>
    <x v="2"/>
    <x v="2"/>
    <x v="397"/>
    <n v="3158400"/>
    <n v="2237200"/>
    <n v="921200"/>
    <x v="307"/>
    <n v="10447536600"/>
    <n v="2099369250"/>
    <n v="8348167350"/>
    <n v="1017885"/>
    <x v="9"/>
    <x v="1"/>
  </r>
  <r>
    <x v="7"/>
    <x v="4"/>
    <x v="46"/>
    <n v="7296000"/>
    <n v="4377600"/>
    <n v="2918400"/>
    <x v="301"/>
    <n v="10447536600"/>
    <n v="2099369250"/>
    <n v="8348167350"/>
    <n v="1017885"/>
    <x v="9"/>
    <x v="1"/>
  </r>
  <r>
    <x v="5"/>
    <x v="4"/>
    <x v="398"/>
    <n v="3885000"/>
    <n v="2331000"/>
    <n v="1554000"/>
    <x v="303"/>
    <n v="10447536600"/>
    <n v="2099369250"/>
    <n v="8348167350"/>
    <n v="1017885"/>
    <x v="9"/>
    <x v="1"/>
  </r>
  <r>
    <x v="5"/>
    <x v="5"/>
    <x v="78"/>
    <n v="742800"/>
    <n v="495200"/>
    <n v="247600"/>
    <x v="300"/>
    <n v="10447536600"/>
    <n v="2099369250"/>
    <n v="8348167350"/>
    <n v="1017885"/>
    <x v="9"/>
    <x v="1"/>
  </r>
  <r>
    <x v="9"/>
    <x v="2"/>
    <x v="399"/>
    <n v="2310000"/>
    <n v="1636250"/>
    <n v="673750"/>
    <x v="308"/>
    <n v="10447536600"/>
    <n v="2099369250"/>
    <n v="8348167350"/>
    <n v="1017885"/>
    <x v="9"/>
    <x v="1"/>
  </r>
  <r>
    <x v="0"/>
    <x v="3"/>
    <x v="389"/>
    <n v="6795000"/>
    <n v="5738000"/>
    <n v="1057000"/>
    <x v="301"/>
    <n v="10447536600"/>
    <n v="2099369250"/>
    <n v="8348167350"/>
    <n v="1017885"/>
    <x v="9"/>
    <x v="1"/>
  </r>
  <r>
    <x v="9"/>
    <x v="4"/>
    <x v="400"/>
    <n v="789000"/>
    <n v="473400"/>
    <n v="315600"/>
    <x v="309"/>
    <n v="10447536600"/>
    <n v="2099369250"/>
    <n v="8348167350"/>
    <n v="1017885"/>
    <x v="9"/>
    <x v="1"/>
  </r>
  <r>
    <x v="3"/>
    <x v="1"/>
    <x v="401"/>
    <n v="17415000"/>
    <n v="12771000"/>
    <n v="4644000"/>
    <x v="306"/>
    <n v="10447536600"/>
    <n v="2099369250"/>
    <n v="8348167350"/>
    <n v="1017885"/>
    <x v="9"/>
    <x v="1"/>
  </r>
  <r>
    <x v="4"/>
    <x v="0"/>
    <x v="402"/>
    <n v="8725000"/>
    <n v="7329000"/>
    <n v="1396000"/>
    <x v="302"/>
    <n v="10447536600"/>
    <n v="2099369250"/>
    <n v="8348167350"/>
    <n v="1017885"/>
    <x v="9"/>
    <x v="1"/>
  </r>
  <r>
    <x v="2"/>
    <x v="4"/>
    <x v="403"/>
    <n v="3840000"/>
    <n v="2304000"/>
    <n v="1536000"/>
    <x v="300"/>
    <n v="10447536600"/>
    <n v="2099369250"/>
    <n v="8348167350"/>
    <n v="1017885"/>
    <x v="9"/>
    <x v="1"/>
  </r>
  <r>
    <x v="3"/>
    <x v="3"/>
    <x v="404"/>
    <n v="113265000"/>
    <n v="95646000"/>
    <n v="17619000"/>
    <x v="310"/>
    <n v="10447536600"/>
    <n v="2099369250"/>
    <n v="8348167350"/>
    <n v="1017885"/>
    <x v="9"/>
    <x v="1"/>
  </r>
  <r>
    <x v="1"/>
    <x v="4"/>
    <x v="271"/>
    <n v="8802000"/>
    <n v="5281200"/>
    <n v="3520800"/>
    <x v="311"/>
    <n v="10447536600"/>
    <n v="2099369250"/>
    <n v="8348167350"/>
    <n v="1017885"/>
    <x v="9"/>
    <x v="1"/>
  </r>
  <r>
    <x v="7"/>
    <x v="4"/>
    <x v="334"/>
    <n v="3900000"/>
    <n v="2340000"/>
    <n v="1560000"/>
    <x v="312"/>
    <n v="10447536600"/>
    <n v="2099369250"/>
    <n v="8348167350"/>
    <n v="1017885"/>
    <x v="10"/>
    <x v="1"/>
  </r>
  <r>
    <x v="3"/>
    <x v="5"/>
    <x v="405"/>
    <n v="105600"/>
    <n v="70400"/>
    <n v="35200"/>
    <x v="313"/>
    <n v="10447536600"/>
    <n v="2099369250"/>
    <n v="8348167350"/>
    <n v="1017885"/>
    <x v="10"/>
    <x v="1"/>
  </r>
  <r>
    <x v="5"/>
    <x v="5"/>
    <x v="406"/>
    <n v="2224800"/>
    <n v="1483200"/>
    <n v="741600"/>
    <x v="314"/>
    <n v="10447536600"/>
    <n v="2099369250"/>
    <n v="8348167350"/>
    <n v="1017885"/>
    <x v="10"/>
    <x v="1"/>
  </r>
  <r>
    <x v="5"/>
    <x v="1"/>
    <x v="407"/>
    <n v="25215000"/>
    <n v="18491000"/>
    <n v="6724000"/>
    <x v="315"/>
    <n v="10447536600"/>
    <n v="2099369250"/>
    <n v="8348167350"/>
    <n v="1017885"/>
    <x v="10"/>
    <x v="1"/>
  </r>
  <r>
    <x v="6"/>
    <x v="0"/>
    <x v="408"/>
    <n v="2190000"/>
    <n v="1839600"/>
    <n v="350400"/>
    <x v="316"/>
    <n v="10447536600"/>
    <n v="2099369250"/>
    <n v="8348167350"/>
    <n v="1017885"/>
    <x v="10"/>
    <x v="1"/>
  </r>
  <r>
    <x v="9"/>
    <x v="2"/>
    <x v="409"/>
    <n v="1228800"/>
    <n v="870400"/>
    <n v="358400"/>
    <x v="317"/>
    <n v="10447536600"/>
    <n v="2099369250"/>
    <n v="8348167350"/>
    <n v="1017885"/>
    <x v="10"/>
    <x v="1"/>
  </r>
  <r>
    <x v="0"/>
    <x v="0"/>
    <x v="410"/>
    <n v="2025000"/>
    <n v="1701000"/>
    <n v="324000"/>
    <x v="318"/>
    <n v="10447536600"/>
    <n v="2099369250"/>
    <n v="8348167350"/>
    <n v="1017885"/>
    <x v="10"/>
    <x v="1"/>
  </r>
  <r>
    <x v="9"/>
    <x v="1"/>
    <x v="411"/>
    <n v="41535000"/>
    <n v="30459000"/>
    <n v="11076000"/>
    <x v="319"/>
    <n v="10447536600"/>
    <n v="2099369250"/>
    <n v="8348167350"/>
    <n v="1017885"/>
    <x v="10"/>
    <x v="1"/>
  </r>
  <r>
    <x v="7"/>
    <x v="0"/>
    <x v="412"/>
    <n v="11445000"/>
    <n v="9613800"/>
    <n v="1831200"/>
    <x v="318"/>
    <n v="10447536600"/>
    <n v="2099369250"/>
    <n v="8348167350"/>
    <n v="1017885"/>
    <x v="10"/>
    <x v="1"/>
  </r>
  <r>
    <x v="3"/>
    <x v="6"/>
    <x v="413"/>
    <n v="3272500"/>
    <n v="2431000"/>
    <n v="841500"/>
    <x v="316"/>
    <n v="10447536600"/>
    <n v="2099369250"/>
    <n v="8348167350"/>
    <n v="1017885"/>
    <x v="10"/>
    <x v="1"/>
  </r>
  <r>
    <x v="9"/>
    <x v="3"/>
    <x v="414"/>
    <n v="17415000"/>
    <n v="14706000"/>
    <n v="2709000"/>
    <x v="320"/>
    <n v="10447536600"/>
    <n v="2099369250"/>
    <n v="8348167350"/>
    <n v="1017885"/>
    <x v="10"/>
    <x v="1"/>
  </r>
  <r>
    <x v="1"/>
    <x v="5"/>
    <x v="415"/>
    <n v="2398800"/>
    <n v="1599200"/>
    <n v="799600"/>
    <x v="321"/>
    <n v="10447536600"/>
    <n v="2099369250"/>
    <n v="8348167350"/>
    <n v="1017885"/>
    <x v="10"/>
    <x v="1"/>
  </r>
  <r>
    <x v="1"/>
    <x v="2"/>
    <x v="416"/>
    <n v="308400"/>
    <n v="218450"/>
    <n v="89950"/>
    <x v="322"/>
    <n v="10447536600"/>
    <n v="2099369250"/>
    <n v="8348167350"/>
    <n v="1017885"/>
    <x v="10"/>
    <x v="1"/>
  </r>
  <r>
    <x v="8"/>
    <x v="3"/>
    <x v="417"/>
    <n v="16020000"/>
    <n v="13528000"/>
    <n v="2492000"/>
    <x v="322"/>
    <n v="10447536600"/>
    <n v="2099369250"/>
    <n v="8348167350"/>
    <n v="1017885"/>
    <x v="10"/>
    <x v="1"/>
  </r>
  <r>
    <x v="6"/>
    <x v="4"/>
    <x v="418"/>
    <n v="5703000"/>
    <n v="3421800"/>
    <n v="2281200"/>
    <x v="320"/>
    <n v="10447536600"/>
    <n v="2099369250"/>
    <n v="8348167350"/>
    <n v="1017885"/>
    <x v="10"/>
    <x v="1"/>
  </r>
  <r>
    <x v="8"/>
    <x v="4"/>
    <x v="419"/>
    <n v="2037000"/>
    <n v="1222200"/>
    <n v="814800"/>
    <x v="319"/>
    <n v="10447536600"/>
    <n v="2099369250"/>
    <n v="8348167350"/>
    <n v="1017885"/>
    <x v="10"/>
    <x v="1"/>
  </r>
  <r>
    <x v="6"/>
    <x v="2"/>
    <x v="420"/>
    <n v="2451600"/>
    <n v="1736550"/>
    <n v="715050"/>
    <x v="318"/>
    <n v="10447536600"/>
    <n v="2099369250"/>
    <n v="8348167350"/>
    <n v="1017885"/>
    <x v="10"/>
    <x v="1"/>
  </r>
  <r>
    <x v="7"/>
    <x v="5"/>
    <x v="421"/>
    <n v="2422800"/>
    <n v="1615200"/>
    <n v="807600"/>
    <x v="323"/>
    <n v="10447536600"/>
    <n v="2099369250"/>
    <n v="8348167350"/>
    <n v="1017885"/>
    <x v="10"/>
    <x v="1"/>
  </r>
  <r>
    <x v="9"/>
    <x v="0"/>
    <x v="422"/>
    <n v="7155000"/>
    <n v="6010200"/>
    <n v="1144800"/>
    <x v="324"/>
    <n v="10447536600"/>
    <n v="2099369250"/>
    <n v="8348167350"/>
    <n v="1017885"/>
    <x v="10"/>
    <x v="1"/>
  </r>
  <r>
    <x v="4"/>
    <x v="6"/>
    <x v="423"/>
    <n v="10164000"/>
    <n v="7550400"/>
    <n v="2613600"/>
    <x v="325"/>
    <n v="10447536600"/>
    <n v="2099369250"/>
    <n v="8348167350"/>
    <n v="1017885"/>
    <x v="11"/>
    <x v="1"/>
  </r>
  <r>
    <x v="3"/>
    <x v="3"/>
    <x v="424"/>
    <n v="18630000"/>
    <n v="15732000"/>
    <n v="2898000"/>
    <x v="326"/>
    <n v="10447536600"/>
    <n v="2099369250"/>
    <n v="8348167350"/>
    <n v="1017885"/>
    <x v="11"/>
    <x v="1"/>
  </r>
  <r>
    <x v="3"/>
    <x v="2"/>
    <x v="425"/>
    <n v="637200"/>
    <n v="451350"/>
    <n v="185850"/>
    <x v="327"/>
    <n v="10447536600"/>
    <n v="2099369250"/>
    <n v="8348167350"/>
    <n v="1017885"/>
    <x v="11"/>
    <x v="1"/>
  </r>
  <r>
    <x v="2"/>
    <x v="0"/>
    <x v="426"/>
    <n v="12815000"/>
    <n v="10764600"/>
    <n v="2050400"/>
    <x v="328"/>
    <n v="10447536600"/>
    <n v="2099369250"/>
    <n v="8348167350"/>
    <n v="1017885"/>
    <x v="11"/>
    <x v="1"/>
  </r>
  <r>
    <x v="2"/>
    <x v="6"/>
    <x v="427"/>
    <n v="4098500"/>
    <n v="3044600"/>
    <n v="1053900"/>
    <x v="329"/>
    <n v="10447536600"/>
    <n v="2099369250"/>
    <n v="8348167350"/>
    <n v="1017885"/>
    <x v="11"/>
    <x v="1"/>
  </r>
  <r>
    <x v="8"/>
    <x v="6"/>
    <x v="275"/>
    <n v="3395000"/>
    <n v="2522000"/>
    <n v="873000"/>
    <x v="330"/>
    <n v="10447536600"/>
    <n v="2099369250"/>
    <n v="8348167350"/>
    <n v="1017885"/>
    <x v="11"/>
    <x v="1"/>
  </r>
  <r>
    <x v="1"/>
    <x v="4"/>
    <x v="428"/>
    <n v="1344000"/>
    <n v="806400"/>
    <n v="537600"/>
    <x v="331"/>
    <n v="10447536600"/>
    <n v="2099369250"/>
    <n v="8348167350"/>
    <n v="1017885"/>
    <x v="11"/>
    <x v="1"/>
  </r>
  <r>
    <x v="4"/>
    <x v="6"/>
    <x v="429"/>
    <n v="6713000"/>
    <n v="4986800"/>
    <n v="1726200"/>
    <x v="332"/>
    <n v="10447536600"/>
    <n v="2099369250"/>
    <n v="8348167350"/>
    <n v="1017885"/>
    <x v="11"/>
    <x v="1"/>
  </r>
  <r>
    <x v="6"/>
    <x v="4"/>
    <x v="430"/>
    <n v="213000"/>
    <n v="127800"/>
    <n v="85200"/>
    <x v="333"/>
    <n v="10447536600"/>
    <n v="2099369250"/>
    <n v="8348167350"/>
    <n v="1017885"/>
    <x v="11"/>
    <x v="1"/>
  </r>
  <r>
    <x v="7"/>
    <x v="5"/>
    <x v="405"/>
    <n v="105600"/>
    <n v="70400"/>
    <n v="35200"/>
    <x v="328"/>
    <n v="10447536600"/>
    <n v="2099369250"/>
    <n v="8348167350"/>
    <n v="1017885"/>
    <x v="11"/>
    <x v="1"/>
  </r>
  <r>
    <x v="9"/>
    <x v="3"/>
    <x v="431"/>
    <n v="51660000"/>
    <n v="43624000"/>
    <n v="8036000"/>
    <x v="329"/>
    <n v="10447536600"/>
    <n v="2099369250"/>
    <n v="8348167350"/>
    <n v="1017885"/>
    <x v="11"/>
    <x v="1"/>
  </r>
  <r>
    <x v="9"/>
    <x v="5"/>
    <x v="432"/>
    <n v="2655600"/>
    <n v="1770400"/>
    <n v="885200"/>
    <x v="333"/>
    <n v="10447536600"/>
    <n v="2099369250"/>
    <n v="8348167350"/>
    <n v="1017885"/>
    <x v="11"/>
    <x v="1"/>
  </r>
  <r>
    <x v="0"/>
    <x v="3"/>
    <x v="176"/>
    <n v="60345000"/>
    <n v="50958000"/>
    <n v="9387000"/>
    <x v="334"/>
    <n v="10447536600"/>
    <n v="2099369250"/>
    <n v="8348167350"/>
    <n v="1017885"/>
    <x v="11"/>
    <x v="1"/>
  </r>
  <r>
    <x v="9"/>
    <x v="2"/>
    <x v="433"/>
    <n v="2006400"/>
    <n v="1421200"/>
    <n v="585200"/>
    <x v="325"/>
    <n v="10447536600"/>
    <n v="2099369250"/>
    <n v="8348167350"/>
    <n v="1017885"/>
    <x v="11"/>
    <x v="1"/>
  </r>
  <r>
    <x v="0"/>
    <x v="1"/>
    <x v="434"/>
    <n v="8295000"/>
    <n v="6083000"/>
    <n v="2212000"/>
    <x v="326"/>
    <n v="10447536600"/>
    <n v="2099369250"/>
    <n v="8348167350"/>
    <n v="1017885"/>
    <x v="11"/>
    <x v="1"/>
  </r>
  <r>
    <x v="8"/>
    <x v="5"/>
    <x v="435"/>
    <n v="3499200"/>
    <n v="2332800"/>
    <n v="1166400"/>
    <x v="335"/>
    <n v="10447536600"/>
    <n v="2099369250"/>
    <n v="8348167350"/>
    <n v="1017885"/>
    <x v="0"/>
    <x v="2"/>
  </r>
  <r>
    <x v="1"/>
    <x v="0"/>
    <x v="436"/>
    <n v="11965000"/>
    <n v="10050600"/>
    <n v="1914400"/>
    <x v="336"/>
    <n v="10447536600"/>
    <n v="2099369250"/>
    <n v="8348167350"/>
    <n v="1017885"/>
    <x v="0"/>
    <x v="2"/>
  </r>
  <r>
    <x v="2"/>
    <x v="3"/>
    <x v="437"/>
    <n v="13455000"/>
    <n v="11362000"/>
    <n v="2093000"/>
    <x v="337"/>
    <n v="10447536600"/>
    <n v="2099369250"/>
    <n v="8348167350"/>
    <n v="1017885"/>
    <x v="0"/>
    <x v="2"/>
  </r>
  <r>
    <x v="0"/>
    <x v="0"/>
    <x v="438"/>
    <n v="975000"/>
    <n v="819000"/>
    <n v="156000"/>
    <x v="335"/>
    <n v="10447536600"/>
    <n v="2099369250"/>
    <n v="8348167350"/>
    <n v="1017885"/>
    <x v="0"/>
    <x v="2"/>
  </r>
  <r>
    <x v="1"/>
    <x v="6"/>
    <x v="439"/>
    <n v="7280000"/>
    <n v="5408000"/>
    <n v="1872000"/>
    <x v="338"/>
    <n v="10447536600"/>
    <n v="2099369250"/>
    <n v="8348167350"/>
    <n v="1017885"/>
    <x v="0"/>
    <x v="2"/>
  </r>
  <r>
    <x v="5"/>
    <x v="3"/>
    <x v="440"/>
    <n v="64350000"/>
    <n v="54340000"/>
    <n v="10010000"/>
    <x v="339"/>
    <n v="10447536600"/>
    <n v="2099369250"/>
    <n v="8348167350"/>
    <n v="1017885"/>
    <x v="0"/>
    <x v="2"/>
  </r>
  <r>
    <x v="6"/>
    <x v="5"/>
    <x v="441"/>
    <n v="3278400"/>
    <n v="2185600"/>
    <n v="1092800"/>
    <x v="340"/>
    <n v="10447536600"/>
    <n v="2099369250"/>
    <n v="8348167350"/>
    <n v="1017885"/>
    <x v="0"/>
    <x v="2"/>
  </r>
  <r>
    <x v="4"/>
    <x v="4"/>
    <x v="442"/>
    <n v="1863000"/>
    <n v="1117800"/>
    <n v="745200"/>
    <x v="341"/>
    <n v="10447536600"/>
    <n v="2099369250"/>
    <n v="8348167350"/>
    <n v="1017885"/>
    <x v="0"/>
    <x v="2"/>
  </r>
  <r>
    <x v="2"/>
    <x v="2"/>
    <x v="443"/>
    <n v="974400"/>
    <n v="690200"/>
    <n v="284200"/>
    <x v="335"/>
    <n v="10447536600"/>
    <n v="2099369250"/>
    <n v="8348167350"/>
    <n v="1017885"/>
    <x v="0"/>
    <x v="2"/>
  </r>
  <r>
    <x v="9"/>
    <x v="0"/>
    <x v="305"/>
    <n v="4680000"/>
    <n v="3931200"/>
    <n v="748800"/>
    <x v="342"/>
    <n v="10447536600"/>
    <n v="2099369250"/>
    <n v="8348167350"/>
    <n v="1017885"/>
    <x v="0"/>
    <x v="2"/>
  </r>
  <r>
    <x v="9"/>
    <x v="5"/>
    <x v="444"/>
    <n v="2432400"/>
    <n v="1621600"/>
    <n v="810800"/>
    <x v="343"/>
    <n v="10447536600"/>
    <n v="2099369250"/>
    <n v="8348167350"/>
    <n v="1017885"/>
    <x v="0"/>
    <x v="2"/>
  </r>
  <r>
    <x v="6"/>
    <x v="4"/>
    <x v="445"/>
    <n v="6354000"/>
    <n v="3812400"/>
    <n v="2541600"/>
    <x v="344"/>
    <n v="10447536600"/>
    <n v="2099369250"/>
    <n v="8348167350"/>
    <n v="1017885"/>
    <x v="0"/>
    <x v="2"/>
  </r>
  <r>
    <x v="7"/>
    <x v="0"/>
    <x v="446"/>
    <n v="255000"/>
    <n v="214200"/>
    <n v="40800"/>
    <x v="345"/>
    <n v="10447536600"/>
    <n v="2099369250"/>
    <n v="8348167350"/>
    <n v="1017885"/>
    <x v="0"/>
    <x v="2"/>
  </r>
  <r>
    <x v="4"/>
    <x v="6"/>
    <x v="447"/>
    <n v="3388000"/>
    <n v="2516800"/>
    <n v="871200"/>
    <x v="335"/>
    <n v="10447536600"/>
    <n v="2099369250"/>
    <n v="8348167350"/>
    <n v="1017885"/>
    <x v="0"/>
    <x v="2"/>
  </r>
  <r>
    <x v="4"/>
    <x v="2"/>
    <x v="258"/>
    <n v="1659600"/>
    <n v="1175550"/>
    <n v="484050"/>
    <x v="346"/>
    <n v="10447536600"/>
    <n v="2099369250"/>
    <n v="8348167350"/>
    <n v="1017885"/>
    <x v="1"/>
    <x v="2"/>
  </r>
  <r>
    <x v="7"/>
    <x v="0"/>
    <x v="448"/>
    <n v="8430000"/>
    <n v="7081200"/>
    <n v="1348800"/>
    <x v="347"/>
    <n v="10447536600"/>
    <n v="2099369250"/>
    <n v="8348167350"/>
    <n v="1017885"/>
    <x v="1"/>
    <x v="2"/>
  </r>
  <r>
    <x v="6"/>
    <x v="5"/>
    <x v="449"/>
    <n v="645600"/>
    <n v="430400"/>
    <n v="215200"/>
    <x v="348"/>
    <n v="10447536600"/>
    <n v="2099369250"/>
    <n v="8348167350"/>
    <n v="1017885"/>
    <x v="1"/>
    <x v="2"/>
  </r>
  <r>
    <x v="5"/>
    <x v="3"/>
    <x v="450"/>
    <n v="37215000"/>
    <n v="31426000"/>
    <n v="5789000"/>
    <x v="349"/>
    <n v="10447536600"/>
    <n v="2099369250"/>
    <n v="8348167350"/>
    <n v="1017885"/>
    <x v="1"/>
    <x v="2"/>
  </r>
  <r>
    <x v="0"/>
    <x v="5"/>
    <x v="451"/>
    <n v="1574400"/>
    <n v="1049600"/>
    <n v="524800"/>
    <x v="350"/>
    <n v="10447536600"/>
    <n v="2099369250"/>
    <n v="8348167350"/>
    <n v="1017885"/>
    <x v="1"/>
    <x v="2"/>
  </r>
  <r>
    <x v="0"/>
    <x v="2"/>
    <x v="229"/>
    <n v="910800"/>
    <n v="645150"/>
    <n v="265650"/>
    <x v="351"/>
    <n v="10447536600"/>
    <n v="2099369250"/>
    <n v="8348167350"/>
    <n v="1017885"/>
    <x v="1"/>
    <x v="2"/>
  </r>
  <r>
    <x v="4"/>
    <x v="0"/>
    <x v="452"/>
    <n v="11615000"/>
    <n v="9756600"/>
    <n v="1858400"/>
    <x v="350"/>
    <n v="10447536600"/>
    <n v="2099369250"/>
    <n v="8348167350"/>
    <n v="1017885"/>
    <x v="1"/>
    <x v="2"/>
  </r>
  <r>
    <x v="1"/>
    <x v="6"/>
    <x v="453"/>
    <n v="2905000"/>
    <n v="2158000"/>
    <n v="747000"/>
    <x v="352"/>
    <n v="10447536600"/>
    <n v="2099369250"/>
    <n v="8348167350"/>
    <n v="1017885"/>
    <x v="1"/>
    <x v="2"/>
  </r>
  <r>
    <x v="0"/>
    <x v="1"/>
    <x v="454"/>
    <n v="15015000"/>
    <n v="11011000"/>
    <n v="4004000"/>
    <x v="350"/>
    <n v="10447536600"/>
    <n v="2099369250"/>
    <n v="8348167350"/>
    <n v="1017885"/>
    <x v="1"/>
    <x v="2"/>
  </r>
  <r>
    <x v="3"/>
    <x v="3"/>
    <x v="455"/>
    <n v="128610000"/>
    <n v="108604000"/>
    <n v="20006000"/>
    <x v="353"/>
    <n v="10447536600"/>
    <n v="2099369250"/>
    <n v="8348167350"/>
    <n v="1017885"/>
    <x v="1"/>
    <x v="2"/>
  </r>
  <r>
    <x v="7"/>
    <x v="6"/>
    <x v="215"/>
    <n v="4539500"/>
    <n v="3372200"/>
    <n v="1167300"/>
    <x v="354"/>
    <n v="10447536600"/>
    <n v="2099369250"/>
    <n v="8348167350"/>
    <n v="1017885"/>
    <x v="1"/>
    <x v="2"/>
  </r>
  <r>
    <x v="6"/>
    <x v="0"/>
    <x v="456"/>
    <n v="8700000"/>
    <n v="7308000"/>
    <n v="1392000"/>
    <x v="355"/>
    <n v="10447536600"/>
    <n v="2099369250"/>
    <n v="8348167350"/>
    <n v="1017885"/>
    <x v="1"/>
    <x v="2"/>
  </r>
  <r>
    <x v="9"/>
    <x v="2"/>
    <x v="457"/>
    <n v="3543600"/>
    <n v="2510050"/>
    <n v="1033550"/>
    <x v="356"/>
    <n v="10447536600"/>
    <n v="2099369250"/>
    <n v="8348167350"/>
    <n v="1017885"/>
    <x v="1"/>
    <x v="2"/>
  </r>
  <r>
    <x v="7"/>
    <x v="5"/>
    <x v="458"/>
    <n v="2992800"/>
    <n v="1995200"/>
    <n v="997600"/>
    <x v="348"/>
    <n v="10447536600"/>
    <n v="2099369250"/>
    <n v="8348167350"/>
    <n v="1017885"/>
    <x v="1"/>
    <x v="2"/>
  </r>
  <r>
    <x v="2"/>
    <x v="5"/>
    <x v="459"/>
    <n v="2704800"/>
    <n v="1803200"/>
    <n v="901600"/>
    <x v="351"/>
    <n v="10447536600"/>
    <n v="2099369250"/>
    <n v="8348167350"/>
    <n v="1017885"/>
    <x v="1"/>
    <x v="2"/>
  </r>
  <r>
    <x v="4"/>
    <x v="1"/>
    <x v="460"/>
    <n v="37905000"/>
    <n v="27797000"/>
    <n v="10108000"/>
    <x v="357"/>
    <n v="10447536600"/>
    <n v="2099369250"/>
    <n v="8348167350"/>
    <n v="1017885"/>
    <x v="1"/>
    <x v="2"/>
  </r>
  <r>
    <x v="9"/>
    <x v="1"/>
    <x v="461"/>
    <n v="34545000"/>
    <n v="25333000"/>
    <n v="9212000"/>
    <x v="358"/>
    <n v="10447536600"/>
    <n v="2099369250"/>
    <n v="8348167350"/>
    <n v="1017885"/>
    <x v="1"/>
    <x v="2"/>
  </r>
  <r>
    <x v="5"/>
    <x v="2"/>
    <x v="462"/>
    <n v="2175600"/>
    <n v="1541050"/>
    <n v="634550"/>
    <x v="350"/>
    <n v="10447536600"/>
    <n v="2099369250"/>
    <n v="8348167350"/>
    <n v="1017885"/>
    <x v="1"/>
    <x v="2"/>
  </r>
  <r>
    <x v="0"/>
    <x v="0"/>
    <x v="463"/>
    <n v="8755000"/>
    <n v="7354200"/>
    <n v="1400800"/>
    <x v="346"/>
    <n v="10447536600"/>
    <n v="2099369250"/>
    <n v="8348167350"/>
    <n v="1017885"/>
    <x v="1"/>
    <x v="2"/>
  </r>
  <r>
    <x v="9"/>
    <x v="5"/>
    <x v="464"/>
    <n v="2979600"/>
    <n v="1986400"/>
    <n v="993200"/>
    <x v="347"/>
    <n v="10447536600"/>
    <n v="2099369250"/>
    <n v="8348167350"/>
    <n v="1017885"/>
    <x v="1"/>
    <x v="2"/>
  </r>
  <r>
    <x v="0"/>
    <x v="1"/>
    <x v="465"/>
    <n v="30945000"/>
    <n v="22693000"/>
    <n v="8252000"/>
    <x v="359"/>
    <n v="10447536600"/>
    <n v="2099369250"/>
    <n v="8348167350"/>
    <n v="1017885"/>
    <x v="1"/>
    <x v="2"/>
  </r>
  <r>
    <x v="1"/>
    <x v="2"/>
    <x v="118"/>
    <n v="1648800"/>
    <n v="1167900"/>
    <n v="480900"/>
    <x v="360"/>
    <n v="10447536600"/>
    <n v="2099369250"/>
    <n v="8348167350"/>
    <n v="1017885"/>
    <x v="1"/>
    <x v="2"/>
  </r>
  <r>
    <x v="5"/>
    <x v="3"/>
    <x v="466"/>
    <n v="98505000"/>
    <n v="83182000"/>
    <n v="15323000"/>
    <x v="350"/>
    <n v="10447536600"/>
    <n v="2099369250"/>
    <n v="8348167350"/>
    <n v="1017885"/>
    <x v="1"/>
    <x v="2"/>
  </r>
  <r>
    <x v="3"/>
    <x v="5"/>
    <x v="467"/>
    <n v="433200"/>
    <n v="288800"/>
    <n v="144400"/>
    <x v="361"/>
    <n v="10447536600"/>
    <n v="2099369250"/>
    <n v="8348167350"/>
    <n v="1017885"/>
    <x v="1"/>
    <x v="2"/>
  </r>
  <r>
    <x v="7"/>
    <x v="2"/>
    <x v="132"/>
    <n v="678000"/>
    <n v="480250"/>
    <n v="197750"/>
    <x v="362"/>
    <n v="10447536600"/>
    <n v="2099369250"/>
    <n v="8348167350"/>
    <n v="1017885"/>
    <x v="1"/>
    <x v="2"/>
  </r>
  <r>
    <x v="0"/>
    <x v="4"/>
    <x v="468"/>
    <n v="4311000"/>
    <n v="2586600"/>
    <n v="1724400"/>
    <x v="362"/>
    <n v="10447536600"/>
    <n v="2099369250"/>
    <n v="8348167350"/>
    <n v="1017885"/>
    <x v="1"/>
    <x v="2"/>
  </r>
  <r>
    <x v="4"/>
    <x v="6"/>
    <x v="469"/>
    <n v="1249500"/>
    <n v="928200"/>
    <n v="321300"/>
    <x v="363"/>
    <n v="10447536600"/>
    <n v="2099369250"/>
    <n v="8348167350"/>
    <n v="1017885"/>
    <x v="1"/>
    <x v="2"/>
  </r>
  <r>
    <x v="9"/>
    <x v="5"/>
    <x v="470"/>
    <n v="3319200"/>
    <n v="2212800"/>
    <n v="1106400"/>
    <x v="364"/>
    <n v="10447536600"/>
    <n v="2099369250"/>
    <n v="8348167350"/>
    <n v="1017885"/>
    <x v="1"/>
    <x v="2"/>
  </r>
  <r>
    <x v="9"/>
    <x v="4"/>
    <x v="58"/>
    <n v="234000"/>
    <n v="140400"/>
    <n v="93600"/>
    <x v="365"/>
    <n v="10447536600"/>
    <n v="2099369250"/>
    <n v="8348167350"/>
    <n v="1017885"/>
    <x v="2"/>
    <x v="2"/>
  </r>
  <r>
    <x v="1"/>
    <x v="1"/>
    <x v="471"/>
    <n v="2970000"/>
    <n v="2178000"/>
    <n v="792000"/>
    <x v="366"/>
    <n v="10447536600"/>
    <n v="2099369250"/>
    <n v="8348167350"/>
    <n v="1017885"/>
    <x v="2"/>
    <x v="2"/>
  </r>
  <r>
    <x v="0"/>
    <x v="6"/>
    <x v="472"/>
    <n v="549500"/>
    <n v="408200"/>
    <n v="141300"/>
    <x v="367"/>
    <n v="10447536600"/>
    <n v="2099369250"/>
    <n v="8348167350"/>
    <n v="1017885"/>
    <x v="2"/>
    <x v="2"/>
  </r>
  <r>
    <x v="9"/>
    <x v="3"/>
    <x v="473"/>
    <n v="57285000"/>
    <n v="48374000"/>
    <n v="8911000"/>
    <x v="368"/>
    <n v="10447536600"/>
    <n v="2099369250"/>
    <n v="8348167350"/>
    <n v="1017885"/>
    <x v="2"/>
    <x v="2"/>
  </r>
  <r>
    <x v="8"/>
    <x v="4"/>
    <x v="474"/>
    <n v="3021000"/>
    <n v="1812600"/>
    <n v="1208400"/>
    <x v="369"/>
    <n v="10447536600"/>
    <n v="2099369250"/>
    <n v="8348167350"/>
    <n v="1017885"/>
    <x v="2"/>
    <x v="2"/>
  </r>
  <r>
    <x v="3"/>
    <x v="4"/>
    <x v="475"/>
    <n v="156000"/>
    <n v="93600"/>
    <n v="62400"/>
    <x v="370"/>
    <n v="10447536600"/>
    <n v="2099369250"/>
    <n v="8348167350"/>
    <n v="1017885"/>
    <x v="2"/>
    <x v="2"/>
  </r>
  <r>
    <x v="1"/>
    <x v="1"/>
    <x v="476"/>
    <n v="17805000"/>
    <n v="13057000"/>
    <n v="4748000"/>
    <x v="368"/>
    <n v="10447536600"/>
    <n v="2099369250"/>
    <n v="8348167350"/>
    <n v="1017885"/>
    <x v="2"/>
    <x v="2"/>
  </r>
  <r>
    <x v="2"/>
    <x v="0"/>
    <x v="298"/>
    <n v="6530000"/>
    <n v="5485200"/>
    <n v="1044800"/>
    <x v="371"/>
    <n v="10447536600"/>
    <n v="2099369250"/>
    <n v="8348167350"/>
    <n v="1017885"/>
    <x v="2"/>
    <x v="2"/>
  </r>
  <r>
    <x v="0"/>
    <x v="1"/>
    <x v="477"/>
    <n v="31710000"/>
    <n v="23254000"/>
    <n v="8456000"/>
    <x v="371"/>
    <n v="10447536600"/>
    <n v="2099369250"/>
    <n v="8348167350"/>
    <n v="1017885"/>
    <x v="2"/>
    <x v="2"/>
  </r>
  <r>
    <x v="0"/>
    <x v="1"/>
    <x v="478"/>
    <n v="43410000"/>
    <n v="31834000"/>
    <n v="11576000"/>
    <x v="372"/>
    <n v="10447536600"/>
    <n v="2099369250"/>
    <n v="8348167350"/>
    <n v="1017885"/>
    <x v="2"/>
    <x v="2"/>
  </r>
  <r>
    <x v="3"/>
    <x v="5"/>
    <x v="479"/>
    <n v="722400"/>
    <n v="481600"/>
    <n v="240800"/>
    <x v="373"/>
    <n v="10447536600"/>
    <n v="2099369250"/>
    <n v="8348167350"/>
    <n v="1017885"/>
    <x v="2"/>
    <x v="2"/>
  </r>
  <r>
    <x v="1"/>
    <x v="5"/>
    <x v="480"/>
    <n v="1890000"/>
    <n v="1260000"/>
    <n v="630000"/>
    <x v="374"/>
    <n v="10447536600"/>
    <n v="2099369250"/>
    <n v="8348167350"/>
    <n v="1017885"/>
    <x v="2"/>
    <x v="2"/>
  </r>
  <r>
    <x v="5"/>
    <x v="5"/>
    <x v="481"/>
    <n v="2202000"/>
    <n v="1468000"/>
    <n v="734000"/>
    <x v="375"/>
    <n v="10447536600"/>
    <n v="2099369250"/>
    <n v="8348167350"/>
    <n v="1017885"/>
    <x v="3"/>
    <x v="2"/>
  </r>
  <r>
    <x v="1"/>
    <x v="3"/>
    <x v="482"/>
    <n v="36000000"/>
    <n v="30400000"/>
    <n v="5600000"/>
    <x v="376"/>
    <n v="10447536600"/>
    <n v="2099369250"/>
    <n v="8348167350"/>
    <n v="1017885"/>
    <x v="3"/>
    <x v="2"/>
  </r>
  <r>
    <x v="6"/>
    <x v="6"/>
    <x v="483"/>
    <n v="5509000"/>
    <n v="4092400"/>
    <n v="1416600"/>
    <x v="377"/>
    <n v="10447536600"/>
    <n v="2099369250"/>
    <n v="8348167350"/>
    <n v="1017885"/>
    <x v="3"/>
    <x v="2"/>
  </r>
  <r>
    <x v="9"/>
    <x v="4"/>
    <x v="484"/>
    <n v="5067000"/>
    <n v="3040200"/>
    <n v="2026800"/>
    <x v="378"/>
    <n v="10447536600"/>
    <n v="2099369250"/>
    <n v="8348167350"/>
    <n v="1017885"/>
    <x v="3"/>
    <x v="2"/>
  </r>
  <r>
    <x v="0"/>
    <x v="2"/>
    <x v="485"/>
    <n v="1215600"/>
    <n v="861050"/>
    <n v="354550"/>
    <x v="377"/>
    <n v="10447536600"/>
    <n v="2099369250"/>
    <n v="8348167350"/>
    <n v="1017885"/>
    <x v="3"/>
    <x v="2"/>
  </r>
  <r>
    <x v="5"/>
    <x v="2"/>
    <x v="275"/>
    <n v="1164000"/>
    <n v="824500"/>
    <n v="339500"/>
    <x v="379"/>
    <n v="10447536600"/>
    <n v="2099369250"/>
    <n v="8348167350"/>
    <n v="1017885"/>
    <x v="3"/>
    <x v="2"/>
  </r>
  <r>
    <x v="2"/>
    <x v="6"/>
    <x v="486"/>
    <n v="8123500"/>
    <n v="6034600"/>
    <n v="2088900"/>
    <x v="376"/>
    <n v="10447536600"/>
    <n v="2099369250"/>
    <n v="8348167350"/>
    <n v="1017885"/>
    <x v="3"/>
    <x v="2"/>
  </r>
  <r>
    <x v="2"/>
    <x v="0"/>
    <x v="487"/>
    <n v="11060000"/>
    <n v="9290400"/>
    <n v="1769600"/>
    <x v="380"/>
    <n v="10447536600"/>
    <n v="2099369250"/>
    <n v="8348167350"/>
    <n v="1017885"/>
    <x v="3"/>
    <x v="2"/>
  </r>
  <r>
    <x v="3"/>
    <x v="5"/>
    <x v="488"/>
    <n v="1675200"/>
    <n v="1116800"/>
    <n v="558400"/>
    <x v="376"/>
    <n v="10447536600"/>
    <n v="2099369250"/>
    <n v="8348167350"/>
    <n v="1017885"/>
    <x v="3"/>
    <x v="2"/>
  </r>
  <r>
    <x v="2"/>
    <x v="1"/>
    <x v="489"/>
    <n v="6180000"/>
    <n v="4532000"/>
    <n v="1648000"/>
    <x v="381"/>
    <n v="10447536600"/>
    <n v="2099369250"/>
    <n v="8348167350"/>
    <n v="1017885"/>
    <x v="3"/>
    <x v="2"/>
  </r>
  <r>
    <x v="0"/>
    <x v="4"/>
    <x v="490"/>
    <n v="5196000"/>
    <n v="3117600"/>
    <n v="2078400"/>
    <x v="382"/>
    <n v="10447536600"/>
    <n v="2099369250"/>
    <n v="8348167350"/>
    <n v="1017885"/>
    <x v="3"/>
    <x v="2"/>
  </r>
  <r>
    <x v="9"/>
    <x v="6"/>
    <x v="343"/>
    <n v="2597000"/>
    <n v="1929200"/>
    <n v="667800"/>
    <x v="383"/>
    <n v="10447536600"/>
    <n v="2099369250"/>
    <n v="8348167350"/>
    <n v="1017885"/>
    <x v="3"/>
    <x v="2"/>
  </r>
  <r>
    <x v="8"/>
    <x v="6"/>
    <x v="491"/>
    <n v="9863000"/>
    <n v="7326800"/>
    <n v="2536200"/>
    <x v="381"/>
    <n v="10447536600"/>
    <n v="2099369250"/>
    <n v="8348167350"/>
    <n v="1017885"/>
    <x v="3"/>
    <x v="2"/>
  </r>
  <r>
    <x v="3"/>
    <x v="0"/>
    <x v="492"/>
    <n v="4290000"/>
    <n v="3603600"/>
    <n v="686400"/>
    <x v="376"/>
    <n v="10447536600"/>
    <n v="2099369250"/>
    <n v="8348167350"/>
    <n v="1017885"/>
    <x v="3"/>
    <x v="2"/>
  </r>
  <r>
    <x v="0"/>
    <x v="5"/>
    <x v="311"/>
    <n v="3482400"/>
    <n v="2321600"/>
    <n v="1160800"/>
    <x v="384"/>
    <n v="10447536600"/>
    <n v="2099369250"/>
    <n v="8348167350"/>
    <n v="1017885"/>
    <x v="3"/>
    <x v="2"/>
  </r>
  <r>
    <x v="4"/>
    <x v="6"/>
    <x v="148"/>
    <n v="1204000"/>
    <n v="894400"/>
    <n v="309600"/>
    <x v="385"/>
    <n v="10447536600"/>
    <n v="2099369250"/>
    <n v="8348167350"/>
    <n v="1017885"/>
    <x v="3"/>
    <x v="2"/>
  </r>
  <r>
    <x v="2"/>
    <x v="1"/>
    <x v="493"/>
    <n v="22830000"/>
    <n v="16742000"/>
    <n v="6088000"/>
    <x v="386"/>
    <n v="10447536600"/>
    <n v="2099369250"/>
    <n v="8348167350"/>
    <n v="1017885"/>
    <x v="3"/>
    <x v="2"/>
  </r>
  <r>
    <x v="9"/>
    <x v="5"/>
    <x v="494"/>
    <n v="397200"/>
    <n v="264800"/>
    <n v="132400"/>
    <x v="378"/>
    <n v="10447536600"/>
    <n v="2099369250"/>
    <n v="8348167350"/>
    <n v="1017885"/>
    <x v="3"/>
    <x v="2"/>
  </r>
  <r>
    <x v="9"/>
    <x v="4"/>
    <x v="495"/>
    <n v="7746000"/>
    <n v="4647600"/>
    <n v="3098400"/>
    <x v="378"/>
    <n v="10447536600"/>
    <n v="2099369250"/>
    <n v="8348167350"/>
    <n v="1017885"/>
    <x v="3"/>
    <x v="2"/>
  </r>
  <r>
    <x v="8"/>
    <x v="1"/>
    <x v="496"/>
    <n v="19350000"/>
    <n v="14190000"/>
    <n v="5160000"/>
    <x v="387"/>
    <n v="10447536600"/>
    <n v="2099369250"/>
    <n v="8348167350"/>
    <n v="1017885"/>
    <x v="4"/>
    <x v="2"/>
  </r>
  <r>
    <x v="5"/>
    <x v="1"/>
    <x v="497"/>
    <n v="975000"/>
    <n v="715000"/>
    <n v="260000"/>
    <x v="388"/>
    <n v="10447536600"/>
    <n v="2099369250"/>
    <n v="8348167350"/>
    <n v="1017885"/>
    <x v="4"/>
    <x v="2"/>
  </r>
  <r>
    <x v="5"/>
    <x v="6"/>
    <x v="498"/>
    <n v="1260000"/>
    <n v="936000"/>
    <n v="324000"/>
    <x v="389"/>
    <n v="10447536600"/>
    <n v="2099369250"/>
    <n v="8348167350"/>
    <n v="1017885"/>
    <x v="4"/>
    <x v="2"/>
  </r>
  <r>
    <x v="7"/>
    <x v="4"/>
    <x v="499"/>
    <n v="5283000"/>
    <n v="3169800"/>
    <n v="2113200"/>
    <x v="388"/>
    <n v="10447536600"/>
    <n v="2099369250"/>
    <n v="8348167350"/>
    <n v="1017885"/>
    <x v="4"/>
    <x v="2"/>
  </r>
  <r>
    <x v="1"/>
    <x v="4"/>
    <x v="500"/>
    <n v="4836000"/>
    <n v="2901600"/>
    <n v="1934400"/>
    <x v="390"/>
    <n v="10447536600"/>
    <n v="2099369250"/>
    <n v="8348167350"/>
    <n v="1017885"/>
    <x v="4"/>
    <x v="2"/>
  </r>
  <r>
    <x v="3"/>
    <x v="2"/>
    <x v="501"/>
    <n v="1390800"/>
    <n v="985150"/>
    <n v="405650"/>
    <x v="391"/>
    <n v="10447536600"/>
    <n v="2099369250"/>
    <n v="8348167350"/>
    <n v="1017885"/>
    <x v="4"/>
    <x v="2"/>
  </r>
  <r>
    <x v="2"/>
    <x v="3"/>
    <x v="502"/>
    <n v="62010000"/>
    <n v="52364000"/>
    <n v="9646000"/>
    <x v="392"/>
    <n v="10447536600"/>
    <n v="2099369250"/>
    <n v="8348167350"/>
    <n v="1017885"/>
    <x v="4"/>
    <x v="2"/>
  </r>
  <r>
    <x v="8"/>
    <x v="6"/>
    <x v="503"/>
    <n v="3230500"/>
    <n v="2399800"/>
    <n v="830700"/>
    <x v="393"/>
    <n v="10447536600"/>
    <n v="2099369250"/>
    <n v="8348167350"/>
    <n v="1017885"/>
    <x v="4"/>
    <x v="2"/>
  </r>
  <r>
    <x v="8"/>
    <x v="4"/>
    <x v="504"/>
    <n v="8877000"/>
    <n v="5326200"/>
    <n v="3550800"/>
    <x v="394"/>
    <n v="10447536600"/>
    <n v="2099369250"/>
    <n v="8348167350"/>
    <n v="1017885"/>
    <x v="4"/>
    <x v="2"/>
  </r>
  <r>
    <x v="7"/>
    <x v="1"/>
    <x v="505"/>
    <n v="30870000"/>
    <n v="22638000"/>
    <n v="8232000"/>
    <x v="395"/>
    <n v="10447536600"/>
    <n v="2099369250"/>
    <n v="8348167350"/>
    <n v="1017885"/>
    <x v="4"/>
    <x v="2"/>
  </r>
  <r>
    <x v="8"/>
    <x v="5"/>
    <x v="506"/>
    <n v="420000"/>
    <n v="280000"/>
    <n v="140000"/>
    <x v="396"/>
    <n v="10447536600"/>
    <n v="2099369250"/>
    <n v="8348167350"/>
    <n v="1017885"/>
    <x v="4"/>
    <x v="2"/>
  </r>
  <r>
    <x v="9"/>
    <x v="6"/>
    <x v="507"/>
    <n v="10440500"/>
    <n v="7755800"/>
    <n v="2684700"/>
    <x v="397"/>
    <n v="10447536600"/>
    <n v="2099369250"/>
    <n v="8348167350"/>
    <n v="1017885"/>
    <x v="4"/>
    <x v="2"/>
  </r>
  <r>
    <x v="5"/>
    <x v="5"/>
    <x v="478"/>
    <n v="3472800"/>
    <n v="2315200"/>
    <n v="1157600"/>
    <x v="397"/>
    <n v="10447536600"/>
    <n v="2099369250"/>
    <n v="8348167350"/>
    <n v="1017885"/>
    <x v="4"/>
    <x v="2"/>
  </r>
  <r>
    <x v="0"/>
    <x v="3"/>
    <x v="508"/>
    <n v="19080000"/>
    <n v="16112000"/>
    <n v="2968000"/>
    <x v="398"/>
    <n v="10447536600"/>
    <n v="2099369250"/>
    <n v="8348167350"/>
    <n v="1017885"/>
    <x v="4"/>
    <x v="2"/>
  </r>
  <r>
    <x v="4"/>
    <x v="0"/>
    <x v="509"/>
    <n v="6955000"/>
    <n v="5842200"/>
    <n v="1112800"/>
    <x v="399"/>
    <n v="10447536600"/>
    <n v="2099369250"/>
    <n v="8348167350"/>
    <n v="1017885"/>
    <x v="5"/>
    <x v="2"/>
  </r>
  <r>
    <x v="8"/>
    <x v="0"/>
    <x v="510"/>
    <n v="7750000"/>
    <n v="6510000"/>
    <n v="1240000"/>
    <x v="400"/>
    <n v="10447536600"/>
    <n v="2099369250"/>
    <n v="8348167350"/>
    <n v="1017885"/>
    <x v="5"/>
    <x v="2"/>
  </r>
  <r>
    <x v="2"/>
    <x v="4"/>
    <x v="511"/>
    <n v="3696000"/>
    <n v="2217600"/>
    <n v="1478400"/>
    <x v="399"/>
    <n v="10447536600"/>
    <n v="2099369250"/>
    <n v="8348167350"/>
    <n v="1017885"/>
    <x v="5"/>
    <x v="2"/>
  </r>
  <r>
    <x v="3"/>
    <x v="4"/>
    <x v="512"/>
    <n v="6855000"/>
    <n v="4113000"/>
    <n v="2742000"/>
    <x v="401"/>
    <n v="10447536600"/>
    <n v="2099369250"/>
    <n v="8348167350"/>
    <n v="1017885"/>
    <x v="5"/>
    <x v="2"/>
  </r>
  <r>
    <x v="0"/>
    <x v="4"/>
    <x v="513"/>
    <n v="5883000"/>
    <n v="3529800"/>
    <n v="2353200"/>
    <x v="402"/>
    <n v="10447536600"/>
    <n v="2099369250"/>
    <n v="8348167350"/>
    <n v="1017885"/>
    <x v="5"/>
    <x v="2"/>
  </r>
  <r>
    <x v="6"/>
    <x v="0"/>
    <x v="514"/>
    <n v="10685000"/>
    <n v="8975400"/>
    <n v="1709600"/>
    <x v="403"/>
    <n v="10447536600"/>
    <n v="2099369250"/>
    <n v="8348167350"/>
    <n v="1017885"/>
    <x v="5"/>
    <x v="2"/>
  </r>
  <r>
    <x v="4"/>
    <x v="2"/>
    <x v="515"/>
    <n v="2186400"/>
    <n v="1548700"/>
    <n v="637700"/>
    <x v="404"/>
    <n v="10447536600"/>
    <n v="2099369250"/>
    <n v="8348167350"/>
    <n v="1017885"/>
    <x v="5"/>
    <x v="2"/>
  </r>
  <r>
    <x v="0"/>
    <x v="0"/>
    <x v="516"/>
    <n v="7985000"/>
    <n v="6707400"/>
    <n v="1277600"/>
    <x v="405"/>
    <n v="10447536600"/>
    <n v="2099369250"/>
    <n v="8348167350"/>
    <n v="1017885"/>
    <x v="5"/>
    <x v="2"/>
  </r>
  <r>
    <x v="4"/>
    <x v="3"/>
    <x v="517"/>
    <n v="96030000"/>
    <n v="81092000"/>
    <n v="14938000"/>
    <x v="406"/>
    <n v="10447536600"/>
    <n v="2099369250"/>
    <n v="8348167350"/>
    <n v="1017885"/>
    <x v="5"/>
    <x v="2"/>
  </r>
  <r>
    <x v="8"/>
    <x v="3"/>
    <x v="518"/>
    <n v="47835000"/>
    <n v="40394000"/>
    <n v="7441000"/>
    <x v="407"/>
    <n v="10447536600"/>
    <n v="2099369250"/>
    <n v="8348167350"/>
    <n v="1017885"/>
    <x v="5"/>
    <x v="2"/>
  </r>
  <r>
    <x v="2"/>
    <x v="0"/>
    <x v="519"/>
    <n v="3280000"/>
    <n v="2755200"/>
    <n v="524800"/>
    <x v="408"/>
    <n v="10447536600"/>
    <n v="2099369250"/>
    <n v="8348167350"/>
    <n v="1017885"/>
    <x v="5"/>
    <x v="2"/>
  </r>
  <r>
    <x v="9"/>
    <x v="4"/>
    <x v="520"/>
    <n v="1794000"/>
    <n v="1076400"/>
    <n v="717600"/>
    <x v="409"/>
    <n v="10447536600"/>
    <n v="2099369250"/>
    <n v="8348167350"/>
    <n v="1017885"/>
    <x v="5"/>
    <x v="2"/>
  </r>
  <r>
    <x v="5"/>
    <x v="2"/>
    <x v="521"/>
    <n v="3585600"/>
    <n v="2539800"/>
    <n v="1045800"/>
    <x v="410"/>
    <n v="10447536600"/>
    <n v="2099369250"/>
    <n v="8348167350"/>
    <n v="1017885"/>
    <x v="5"/>
    <x v="2"/>
  </r>
  <r>
    <x v="7"/>
    <x v="4"/>
    <x v="175"/>
    <n v="3906000"/>
    <n v="2343600"/>
    <n v="1562400"/>
    <x v="411"/>
    <n v="10447536600"/>
    <n v="2099369250"/>
    <n v="8348167350"/>
    <n v="1017885"/>
    <x v="5"/>
    <x v="2"/>
  </r>
  <r>
    <x v="6"/>
    <x v="6"/>
    <x v="522"/>
    <n v="3188500"/>
    <n v="2368600"/>
    <n v="819900"/>
    <x v="412"/>
    <n v="10447536600"/>
    <n v="2099369250"/>
    <n v="8348167350"/>
    <n v="1017885"/>
    <x v="5"/>
    <x v="2"/>
  </r>
  <r>
    <x v="9"/>
    <x v="6"/>
    <x v="523"/>
    <n v="7917000"/>
    <n v="5881200"/>
    <n v="2035800"/>
    <x v="413"/>
    <n v="10447536600"/>
    <n v="2099369250"/>
    <n v="8348167350"/>
    <n v="1017885"/>
    <x v="5"/>
    <x v="2"/>
  </r>
  <r>
    <x v="0"/>
    <x v="4"/>
    <x v="524"/>
    <n v="3888000"/>
    <n v="2332800"/>
    <n v="1555200"/>
    <x v="414"/>
    <n v="10447536600"/>
    <n v="2099369250"/>
    <n v="8348167350"/>
    <n v="1017885"/>
    <x v="5"/>
    <x v="2"/>
  </r>
  <r>
    <x v="9"/>
    <x v="5"/>
    <x v="525"/>
    <n v="243600"/>
    <n v="162400"/>
    <n v="81200"/>
    <x v="415"/>
    <n v="10447536600"/>
    <n v="2099369250"/>
    <n v="8348167350"/>
    <n v="1017885"/>
    <x v="6"/>
    <x v="2"/>
  </r>
  <r>
    <x v="1"/>
    <x v="4"/>
    <x v="526"/>
    <n v="222000"/>
    <n v="133200"/>
    <n v="88800"/>
    <x v="416"/>
    <n v="10447536600"/>
    <n v="2099369250"/>
    <n v="8348167350"/>
    <n v="1017885"/>
    <x v="6"/>
    <x v="2"/>
  </r>
  <r>
    <x v="1"/>
    <x v="4"/>
    <x v="527"/>
    <n v="1785000"/>
    <n v="1071000"/>
    <n v="714000"/>
    <x v="417"/>
    <n v="10447536600"/>
    <n v="2099369250"/>
    <n v="8348167350"/>
    <n v="1017885"/>
    <x v="6"/>
    <x v="2"/>
  </r>
  <r>
    <x v="5"/>
    <x v="6"/>
    <x v="528"/>
    <n v="6373500"/>
    <n v="4734600"/>
    <n v="1638900"/>
    <x v="418"/>
    <n v="10447536600"/>
    <n v="2099369250"/>
    <n v="8348167350"/>
    <n v="1017885"/>
    <x v="6"/>
    <x v="2"/>
  </r>
  <r>
    <x v="0"/>
    <x v="0"/>
    <x v="529"/>
    <n v="5110000"/>
    <n v="4292400"/>
    <n v="817600"/>
    <x v="419"/>
    <n v="10447536600"/>
    <n v="2099369250"/>
    <n v="8348167350"/>
    <n v="1017885"/>
    <x v="6"/>
    <x v="2"/>
  </r>
  <r>
    <x v="3"/>
    <x v="0"/>
    <x v="254"/>
    <n v="1325000"/>
    <n v="1113000"/>
    <n v="212000"/>
    <x v="415"/>
    <n v="10447536600"/>
    <n v="2099369250"/>
    <n v="8348167350"/>
    <n v="1017885"/>
    <x v="6"/>
    <x v="2"/>
  </r>
  <r>
    <x v="2"/>
    <x v="2"/>
    <x v="40"/>
    <n v="1245600"/>
    <n v="882300"/>
    <n v="363300"/>
    <x v="420"/>
    <n v="10447536600"/>
    <n v="2099369250"/>
    <n v="8348167350"/>
    <n v="1017885"/>
    <x v="6"/>
    <x v="2"/>
  </r>
  <r>
    <x v="9"/>
    <x v="5"/>
    <x v="530"/>
    <n v="2502000"/>
    <n v="1668000"/>
    <n v="834000"/>
    <x v="418"/>
    <n v="10447536600"/>
    <n v="2099369250"/>
    <n v="8348167350"/>
    <n v="1017885"/>
    <x v="6"/>
    <x v="2"/>
  </r>
  <r>
    <x v="4"/>
    <x v="6"/>
    <x v="531"/>
    <n v="2215500"/>
    <n v="1645800"/>
    <n v="569700"/>
    <x v="421"/>
    <n v="10447536600"/>
    <n v="2099369250"/>
    <n v="8348167350"/>
    <n v="1017885"/>
    <x v="6"/>
    <x v="2"/>
  </r>
  <r>
    <x v="2"/>
    <x v="6"/>
    <x v="532"/>
    <n v="2723000"/>
    <n v="2022800"/>
    <n v="700200"/>
    <x v="422"/>
    <n v="10447536600"/>
    <n v="2099369250"/>
    <n v="8348167350"/>
    <n v="1017885"/>
    <x v="6"/>
    <x v="2"/>
  </r>
  <r>
    <x v="4"/>
    <x v="3"/>
    <x v="533"/>
    <n v="30780000"/>
    <n v="25992000"/>
    <n v="4788000"/>
    <x v="423"/>
    <n v="10447536600"/>
    <n v="2099369250"/>
    <n v="8348167350"/>
    <n v="1017885"/>
    <x v="6"/>
    <x v="2"/>
  </r>
  <r>
    <x v="5"/>
    <x v="0"/>
    <x v="534"/>
    <n v="10530000"/>
    <n v="8845200"/>
    <n v="1684800"/>
    <x v="424"/>
    <n v="10447536600"/>
    <n v="2099369250"/>
    <n v="8348167350"/>
    <n v="1017885"/>
    <x v="6"/>
    <x v="2"/>
  </r>
  <r>
    <x v="0"/>
    <x v="5"/>
    <x v="479"/>
    <n v="722400"/>
    <n v="481600"/>
    <n v="240800"/>
    <x v="425"/>
    <n v="10447536600"/>
    <n v="2099369250"/>
    <n v="8348167350"/>
    <n v="1017885"/>
    <x v="6"/>
    <x v="2"/>
  </r>
  <r>
    <x v="6"/>
    <x v="1"/>
    <x v="297"/>
    <n v="24150000"/>
    <n v="17710000"/>
    <n v="6440000"/>
    <x v="416"/>
    <n v="10447536600"/>
    <n v="2099369250"/>
    <n v="8348167350"/>
    <n v="1017885"/>
    <x v="6"/>
    <x v="2"/>
  </r>
  <r>
    <x v="1"/>
    <x v="0"/>
    <x v="85"/>
    <n v="11095000"/>
    <n v="9319800"/>
    <n v="1775200"/>
    <x v="426"/>
    <n v="10447536600"/>
    <n v="2099369250"/>
    <n v="8348167350"/>
    <n v="1017885"/>
    <x v="6"/>
    <x v="2"/>
  </r>
  <r>
    <x v="0"/>
    <x v="6"/>
    <x v="535"/>
    <n v="1729000"/>
    <n v="1284400"/>
    <n v="444600"/>
    <x v="417"/>
    <n v="10447536600"/>
    <n v="2099369250"/>
    <n v="8348167350"/>
    <n v="1017885"/>
    <x v="6"/>
    <x v="2"/>
  </r>
  <r>
    <x v="4"/>
    <x v="0"/>
    <x v="145"/>
    <n v="7025000"/>
    <n v="5901000"/>
    <n v="1124000"/>
    <x v="427"/>
    <n v="10447536600"/>
    <n v="2099369250"/>
    <n v="8348167350"/>
    <n v="1017885"/>
    <x v="6"/>
    <x v="2"/>
  </r>
  <r>
    <x v="6"/>
    <x v="1"/>
    <x v="185"/>
    <n v="12645000"/>
    <n v="9273000"/>
    <n v="3372000"/>
    <x v="428"/>
    <n v="10447536600"/>
    <n v="2099369250"/>
    <n v="8348167350"/>
    <n v="1017885"/>
    <x v="6"/>
    <x v="2"/>
  </r>
  <r>
    <x v="7"/>
    <x v="1"/>
    <x v="536"/>
    <n v="7905000"/>
    <n v="5797000"/>
    <n v="2108000"/>
    <x v="415"/>
    <n v="10447536600"/>
    <n v="2099369250"/>
    <n v="8348167350"/>
    <n v="1017885"/>
    <x v="6"/>
    <x v="2"/>
  </r>
  <r>
    <x v="9"/>
    <x v="4"/>
    <x v="537"/>
    <n v="7170000"/>
    <n v="4302000"/>
    <n v="2868000"/>
    <x v="419"/>
    <n v="10447536600"/>
    <n v="2099369250"/>
    <n v="8348167350"/>
    <n v="1017885"/>
    <x v="6"/>
    <x v="2"/>
  </r>
  <r>
    <x v="9"/>
    <x v="0"/>
    <x v="538"/>
    <n v="11640000"/>
    <n v="9777600"/>
    <n v="1862400"/>
    <x v="429"/>
    <n v="10447536600"/>
    <n v="2099369250"/>
    <n v="8348167350"/>
    <n v="1017885"/>
    <x v="6"/>
    <x v="2"/>
  </r>
  <r>
    <x v="7"/>
    <x v="1"/>
    <x v="539"/>
    <n v="41415000"/>
    <n v="30371000"/>
    <n v="11044000"/>
    <x v="430"/>
    <n v="10447536600"/>
    <n v="2099369250"/>
    <n v="8348167350"/>
    <n v="1017885"/>
    <x v="7"/>
    <x v="2"/>
  </r>
  <r>
    <x v="6"/>
    <x v="1"/>
    <x v="540"/>
    <n v="1650000"/>
    <n v="1210000"/>
    <n v="440000"/>
    <x v="431"/>
    <n v="10447536600"/>
    <n v="2099369250"/>
    <n v="8348167350"/>
    <n v="1017885"/>
    <x v="7"/>
    <x v="2"/>
  </r>
  <r>
    <x v="8"/>
    <x v="1"/>
    <x v="71"/>
    <n v="14820000"/>
    <n v="10868000"/>
    <n v="3952000"/>
    <x v="432"/>
    <n v="10447536600"/>
    <n v="2099369250"/>
    <n v="8348167350"/>
    <n v="1017885"/>
    <x v="7"/>
    <x v="2"/>
  </r>
  <r>
    <x v="4"/>
    <x v="3"/>
    <x v="541"/>
    <n v="96255000"/>
    <n v="81282000"/>
    <n v="14973000"/>
    <x v="433"/>
    <n v="10447536600"/>
    <n v="2099369250"/>
    <n v="8348167350"/>
    <n v="1017885"/>
    <x v="7"/>
    <x v="2"/>
  </r>
  <r>
    <x v="1"/>
    <x v="0"/>
    <x v="97"/>
    <n v="5450000"/>
    <n v="4578000"/>
    <n v="872000"/>
    <x v="434"/>
    <n v="10447536600"/>
    <n v="2099369250"/>
    <n v="8348167350"/>
    <n v="1017885"/>
    <x v="7"/>
    <x v="2"/>
  </r>
  <r>
    <x v="6"/>
    <x v="6"/>
    <x v="542"/>
    <n v="3811500"/>
    <n v="2831400"/>
    <n v="980100"/>
    <x v="435"/>
    <n v="10447536600"/>
    <n v="2099369250"/>
    <n v="8348167350"/>
    <n v="1017885"/>
    <x v="7"/>
    <x v="2"/>
  </r>
  <r>
    <x v="5"/>
    <x v="5"/>
    <x v="543"/>
    <n v="1246800"/>
    <n v="831200"/>
    <n v="415600"/>
    <x v="436"/>
    <n v="10447536600"/>
    <n v="2099369250"/>
    <n v="8348167350"/>
    <n v="1017885"/>
    <x v="7"/>
    <x v="2"/>
  </r>
  <r>
    <x v="0"/>
    <x v="1"/>
    <x v="544"/>
    <n v="22740000"/>
    <n v="16676000"/>
    <n v="6064000"/>
    <x v="437"/>
    <n v="10447536600"/>
    <n v="2099369250"/>
    <n v="8348167350"/>
    <n v="1017885"/>
    <x v="7"/>
    <x v="2"/>
  </r>
  <r>
    <x v="1"/>
    <x v="4"/>
    <x v="545"/>
    <n v="882000"/>
    <n v="529200"/>
    <n v="352800"/>
    <x v="438"/>
    <n v="10447536600"/>
    <n v="2099369250"/>
    <n v="8348167350"/>
    <n v="1017885"/>
    <x v="7"/>
    <x v="2"/>
  </r>
  <r>
    <x v="8"/>
    <x v="1"/>
    <x v="546"/>
    <n v="34260000"/>
    <n v="25124000"/>
    <n v="9136000"/>
    <x v="439"/>
    <n v="10447536600"/>
    <n v="2099369250"/>
    <n v="8348167350"/>
    <n v="1017885"/>
    <x v="7"/>
    <x v="2"/>
  </r>
  <r>
    <x v="6"/>
    <x v="1"/>
    <x v="547"/>
    <n v="15555000"/>
    <n v="11407000"/>
    <n v="4148000"/>
    <x v="438"/>
    <n v="10447536600"/>
    <n v="2099369250"/>
    <n v="8348167350"/>
    <n v="1017885"/>
    <x v="7"/>
    <x v="2"/>
  </r>
  <r>
    <x v="3"/>
    <x v="6"/>
    <x v="548"/>
    <n v="5862500"/>
    <n v="4355000"/>
    <n v="1507500"/>
    <x v="440"/>
    <n v="10447536600"/>
    <n v="2099369250"/>
    <n v="8348167350"/>
    <n v="1017885"/>
    <x v="7"/>
    <x v="2"/>
  </r>
  <r>
    <x v="1"/>
    <x v="3"/>
    <x v="466"/>
    <n v="98505000"/>
    <n v="83182000"/>
    <n v="15323000"/>
    <x v="435"/>
    <n v="10447536600"/>
    <n v="2099369250"/>
    <n v="8348167350"/>
    <n v="1017885"/>
    <x v="7"/>
    <x v="2"/>
  </r>
  <r>
    <x v="5"/>
    <x v="6"/>
    <x v="549"/>
    <n v="6555500"/>
    <n v="4869800"/>
    <n v="1685700"/>
    <x v="441"/>
    <n v="10447536600"/>
    <n v="2099369250"/>
    <n v="8348167350"/>
    <n v="1017885"/>
    <x v="7"/>
    <x v="2"/>
  </r>
  <r>
    <x v="7"/>
    <x v="4"/>
    <x v="550"/>
    <n v="3069000"/>
    <n v="1841400"/>
    <n v="1227600"/>
    <x v="439"/>
    <n v="10447536600"/>
    <n v="2099369250"/>
    <n v="8348167350"/>
    <n v="1017885"/>
    <x v="7"/>
    <x v="2"/>
  </r>
  <r>
    <x v="5"/>
    <x v="1"/>
    <x v="551"/>
    <n v="37260000"/>
    <n v="27324000"/>
    <n v="9936000"/>
    <x v="433"/>
    <n v="10447536600"/>
    <n v="2099369250"/>
    <n v="8348167350"/>
    <n v="1017885"/>
    <x v="7"/>
    <x v="2"/>
  </r>
  <r>
    <x v="8"/>
    <x v="5"/>
    <x v="552"/>
    <n v="1210800"/>
    <n v="807200"/>
    <n v="403600"/>
    <x v="442"/>
    <n v="10447536600"/>
    <n v="2099369250"/>
    <n v="8348167350"/>
    <n v="1017885"/>
    <x v="7"/>
    <x v="2"/>
  </r>
  <r>
    <x v="3"/>
    <x v="0"/>
    <x v="553"/>
    <n v="10065000"/>
    <n v="8454600"/>
    <n v="1610400"/>
    <x v="443"/>
    <n v="10447536600"/>
    <n v="2099369250"/>
    <n v="8348167350"/>
    <n v="1017885"/>
    <x v="7"/>
    <x v="2"/>
  </r>
  <r>
    <x v="5"/>
    <x v="4"/>
    <x v="554"/>
    <n v="7887000"/>
    <n v="4732200"/>
    <n v="3154800"/>
    <x v="430"/>
    <n v="10447536600"/>
    <n v="2099369250"/>
    <n v="8348167350"/>
    <n v="1017885"/>
    <x v="7"/>
    <x v="2"/>
  </r>
  <r>
    <x v="6"/>
    <x v="1"/>
    <x v="555"/>
    <n v="19785000"/>
    <n v="14509000"/>
    <n v="5276000"/>
    <x v="444"/>
    <n v="10447536600"/>
    <n v="2099369250"/>
    <n v="8348167350"/>
    <n v="1017885"/>
    <x v="7"/>
    <x v="2"/>
  </r>
  <r>
    <x v="1"/>
    <x v="0"/>
    <x v="556"/>
    <n v="8390000"/>
    <n v="7047600"/>
    <n v="1342400"/>
    <x v="434"/>
    <n v="10447536600"/>
    <n v="2099369250"/>
    <n v="8348167350"/>
    <n v="1017885"/>
    <x v="7"/>
    <x v="2"/>
  </r>
  <r>
    <x v="6"/>
    <x v="3"/>
    <x v="173"/>
    <n v="59580000"/>
    <n v="50312000"/>
    <n v="9268000"/>
    <x v="445"/>
    <n v="10447536600"/>
    <n v="2099369250"/>
    <n v="8348167350"/>
    <n v="1017885"/>
    <x v="7"/>
    <x v="2"/>
  </r>
  <r>
    <x v="6"/>
    <x v="1"/>
    <x v="557"/>
    <n v="39120000"/>
    <n v="28688000"/>
    <n v="10432000"/>
    <x v="446"/>
    <n v="10447536600"/>
    <n v="2099369250"/>
    <n v="8348167350"/>
    <n v="1017885"/>
    <x v="7"/>
    <x v="2"/>
  </r>
  <r>
    <x v="3"/>
    <x v="5"/>
    <x v="558"/>
    <n v="3348000"/>
    <n v="2232000"/>
    <n v="1116000"/>
    <x v="447"/>
    <n v="10447536600"/>
    <n v="2099369250"/>
    <n v="8348167350"/>
    <n v="1017885"/>
    <x v="7"/>
    <x v="2"/>
  </r>
  <r>
    <x v="5"/>
    <x v="5"/>
    <x v="90"/>
    <n v="1732800"/>
    <n v="1155200"/>
    <n v="577600"/>
    <x v="448"/>
    <n v="10447536600"/>
    <n v="2099369250"/>
    <n v="8348167350"/>
    <n v="1017885"/>
    <x v="8"/>
    <x v="2"/>
  </r>
  <r>
    <x v="3"/>
    <x v="2"/>
    <x v="559"/>
    <n v="1634400"/>
    <n v="1157700"/>
    <n v="476700"/>
    <x v="449"/>
    <n v="10447536600"/>
    <n v="2099369250"/>
    <n v="8348167350"/>
    <n v="1017885"/>
    <x v="8"/>
    <x v="2"/>
  </r>
  <r>
    <x v="7"/>
    <x v="1"/>
    <x v="560"/>
    <n v="35580000"/>
    <n v="26092000"/>
    <n v="9488000"/>
    <x v="450"/>
    <n v="10447536600"/>
    <n v="2099369250"/>
    <n v="8348167350"/>
    <n v="1017885"/>
    <x v="8"/>
    <x v="2"/>
  </r>
  <r>
    <x v="3"/>
    <x v="4"/>
    <x v="561"/>
    <n v="696000"/>
    <n v="417600"/>
    <n v="278400"/>
    <x v="451"/>
    <n v="10447536600"/>
    <n v="2099369250"/>
    <n v="8348167350"/>
    <n v="1017885"/>
    <x v="8"/>
    <x v="2"/>
  </r>
  <r>
    <x v="1"/>
    <x v="2"/>
    <x v="263"/>
    <n v="3013200"/>
    <n v="2134350"/>
    <n v="878850"/>
    <x v="452"/>
    <n v="10447536600"/>
    <n v="2099369250"/>
    <n v="8348167350"/>
    <n v="1017885"/>
    <x v="8"/>
    <x v="2"/>
  </r>
  <r>
    <x v="9"/>
    <x v="2"/>
    <x v="562"/>
    <n v="631200"/>
    <n v="447100"/>
    <n v="184100"/>
    <x v="453"/>
    <n v="10447536600"/>
    <n v="2099369250"/>
    <n v="8348167350"/>
    <n v="1017885"/>
    <x v="8"/>
    <x v="2"/>
  </r>
  <r>
    <x v="1"/>
    <x v="3"/>
    <x v="563"/>
    <n v="17505000"/>
    <n v="14782000"/>
    <n v="2723000"/>
    <x v="454"/>
    <n v="10447536600"/>
    <n v="2099369250"/>
    <n v="8348167350"/>
    <n v="1017885"/>
    <x v="8"/>
    <x v="2"/>
  </r>
  <r>
    <x v="6"/>
    <x v="5"/>
    <x v="564"/>
    <n v="3218400"/>
    <n v="2145600"/>
    <n v="1072800"/>
    <x v="454"/>
    <n v="10447536600"/>
    <n v="2099369250"/>
    <n v="8348167350"/>
    <n v="1017885"/>
    <x v="8"/>
    <x v="2"/>
  </r>
  <r>
    <x v="9"/>
    <x v="4"/>
    <x v="565"/>
    <n v="2328000"/>
    <n v="1396800"/>
    <n v="931200"/>
    <x v="455"/>
    <n v="10447536600"/>
    <n v="2099369250"/>
    <n v="8348167350"/>
    <n v="1017885"/>
    <x v="8"/>
    <x v="2"/>
  </r>
  <r>
    <x v="3"/>
    <x v="1"/>
    <x v="566"/>
    <n v="32385000"/>
    <n v="23749000"/>
    <n v="8636000"/>
    <x v="456"/>
    <n v="10447536600"/>
    <n v="2099369250"/>
    <n v="8348167350"/>
    <n v="1017885"/>
    <x v="8"/>
    <x v="2"/>
  </r>
  <r>
    <x v="6"/>
    <x v="3"/>
    <x v="567"/>
    <n v="109485000"/>
    <n v="92454000"/>
    <n v="17031000"/>
    <x v="457"/>
    <n v="10447536600"/>
    <n v="2099369250"/>
    <n v="8348167350"/>
    <n v="1017885"/>
    <x v="8"/>
    <x v="2"/>
  </r>
  <r>
    <x v="2"/>
    <x v="6"/>
    <x v="568"/>
    <n v="9289000"/>
    <n v="6900400"/>
    <n v="2388600"/>
    <x v="458"/>
    <n v="10447536600"/>
    <n v="2099369250"/>
    <n v="8348167350"/>
    <n v="1017885"/>
    <x v="8"/>
    <x v="2"/>
  </r>
  <r>
    <x v="9"/>
    <x v="2"/>
    <x v="569"/>
    <n v="2614800"/>
    <n v="1852150"/>
    <n v="762650"/>
    <x v="459"/>
    <n v="10447536600"/>
    <n v="2099369250"/>
    <n v="8348167350"/>
    <n v="1017885"/>
    <x v="8"/>
    <x v="2"/>
  </r>
  <r>
    <x v="6"/>
    <x v="5"/>
    <x v="570"/>
    <n v="3076800"/>
    <n v="2051200"/>
    <n v="1025600"/>
    <x v="460"/>
    <n v="10447536600"/>
    <n v="2099369250"/>
    <n v="8348167350"/>
    <n v="1017885"/>
    <x v="8"/>
    <x v="2"/>
  </r>
  <r>
    <x v="5"/>
    <x v="1"/>
    <x v="9"/>
    <n v="14505000"/>
    <n v="10637000"/>
    <n v="3868000"/>
    <x v="461"/>
    <n v="10447536600"/>
    <n v="2099369250"/>
    <n v="8348167350"/>
    <n v="1017885"/>
    <x v="8"/>
    <x v="2"/>
  </r>
  <r>
    <x v="9"/>
    <x v="6"/>
    <x v="571"/>
    <n v="2240000"/>
    <n v="1664000"/>
    <n v="576000"/>
    <x v="462"/>
    <n v="10447536600"/>
    <n v="2099369250"/>
    <n v="8348167350"/>
    <n v="1017885"/>
    <x v="8"/>
    <x v="2"/>
  </r>
  <r>
    <x v="8"/>
    <x v="6"/>
    <x v="572"/>
    <n v="1130500"/>
    <n v="839800"/>
    <n v="290700"/>
    <x v="463"/>
    <n v="10447536600"/>
    <n v="2099369250"/>
    <n v="8348167350"/>
    <n v="1017885"/>
    <x v="8"/>
    <x v="2"/>
  </r>
  <r>
    <x v="6"/>
    <x v="3"/>
    <x v="573"/>
    <n v="42840000"/>
    <n v="36176000"/>
    <n v="6664000"/>
    <x v="464"/>
    <n v="10447536600"/>
    <n v="2099369250"/>
    <n v="8348167350"/>
    <n v="1017885"/>
    <x v="8"/>
    <x v="2"/>
  </r>
  <r>
    <x v="6"/>
    <x v="4"/>
    <x v="574"/>
    <n v="5088000"/>
    <n v="3052800"/>
    <n v="2035200"/>
    <x v="463"/>
    <n v="10447536600"/>
    <n v="2099369250"/>
    <n v="8348167350"/>
    <n v="1017885"/>
    <x v="8"/>
    <x v="2"/>
  </r>
  <r>
    <x v="7"/>
    <x v="1"/>
    <x v="575"/>
    <n v="39150000"/>
    <n v="28710000"/>
    <n v="10440000"/>
    <x v="451"/>
    <n v="10447536600"/>
    <n v="2099369250"/>
    <n v="8348167350"/>
    <n v="1017885"/>
    <x v="8"/>
    <x v="2"/>
  </r>
  <r>
    <x v="7"/>
    <x v="1"/>
    <x v="576"/>
    <n v="21135000"/>
    <n v="15499000"/>
    <n v="5636000"/>
    <x v="449"/>
    <n v="10447536600"/>
    <n v="2099369250"/>
    <n v="8348167350"/>
    <n v="1017885"/>
    <x v="8"/>
    <x v="2"/>
  </r>
  <r>
    <x v="2"/>
    <x v="1"/>
    <x v="577"/>
    <n v="20535000"/>
    <n v="15059000"/>
    <n v="5476000"/>
    <x v="465"/>
    <n v="10447536600"/>
    <n v="2099369250"/>
    <n v="8348167350"/>
    <n v="1017885"/>
    <x v="9"/>
    <x v="2"/>
  </r>
  <r>
    <x v="9"/>
    <x v="3"/>
    <x v="578"/>
    <n v="10620000"/>
    <n v="8968000"/>
    <n v="1652000"/>
    <x v="466"/>
    <n v="10447536600"/>
    <n v="2099369250"/>
    <n v="8348167350"/>
    <n v="1017885"/>
    <x v="9"/>
    <x v="2"/>
  </r>
  <r>
    <x v="5"/>
    <x v="4"/>
    <x v="579"/>
    <n v="3336000"/>
    <n v="2001600"/>
    <n v="1334400"/>
    <x v="467"/>
    <n v="10447536600"/>
    <n v="2099369250"/>
    <n v="8348167350"/>
    <n v="1017885"/>
    <x v="9"/>
    <x v="2"/>
  </r>
  <r>
    <x v="1"/>
    <x v="5"/>
    <x v="580"/>
    <n v="465600"/>
    <n v="310400"/>
    <n v="155200"/>
    <x v="468"/>
    <n v="10447536600"/>
    <n v="2099369250"/>
    <n v="8348167350"/>
    <n v="1017885"/>
    <x v="9"/>
    <x v="2"/>
  </r>
  <r>
    <x v="2"/>
    <x v="6"/>
    <x v="581"/>
    <n v="5453000"/>
    <n v="4050800"/>
    <n v="1402200"/>
    <x v="469"/>
    <n v="10447536600"/>
    <n v="2099369250"/>
    <n v="8348167350"/>
    <n v="1017885"/>
    <x v="9"/>
    <x v="2"/>
  </r>
  <r>
    <x v="2"/>
    <x v="5"/>
    <x v="582"/>
    <n v="912000"/>
    <n v="608000"/>
    <n v="304000"/>
    <x v="470"/>
    <n v="10447536600"/>
    <n v="2099369250"/>
    <n v="8348167350"/>
    <n v="1017885"/>
    <x v="9"/>
    <x v="2"/>
  </r>
  <r>
    <x v="6"/>
    <x v="1"/>
    <x v="272"/>
    <n v="31245000"/>
    <n v="22913000"/>
    <n v="8332000"/>
    <x v="471"/>
    <n v="10447536600"/>
    <n v="2099369250"/>
    <n v="8348167350"/>
    <n v="1017885"/>
    <x v="9"/>
    <x v="2"/>
  </r>
  <r>
    <x v="0"/>
    <x v="5"/>
    <x v="583"/>
    <n v="1815600"/>
    <n v="1210400"/>
    <n v="605200"/>
    <x v="472"/>
    <n v="10447536600"/>
    <n v="2099369250"/>
    <n v="8348167350"/>
    <n v="1017885"/>
    <x v="9"/>
    <x v="2"/>
  </r>
  <r>
    <x v="4"/>
    <x v="6"/>
    <x v="61"/>
    <n v="5036500"/>
    <n v="3741400"/>
    <n v="1295100"/>
    <x v="473"/>
    <n v="10447536600"/>
    <n v="2099369250"/>
    <n v="8348167350"/>
    <n v="1017885"/>
    <x v="9"/>
    <x v="2"/>
  </r>
  <r>
    <x v="3"/>
    <x v="6"/>
    <x v="584"/>
    <n v="731500"/>
    <n v="543400"/>
    <n v="188100"/>
    <x v="474"/>
    <n v="10447536600"/>
    <n v="2099369250"/>
    <n v="8348167350"/>
    <n v="1017885"/>
    <x v="9"/>
    <x v="2"/>
  </r>
  <r>
    <x v="3"/>
    <x v="6"/>
    <x v="585"/>
    <n v="4371500"/>
    <n v="3247400"/>
    <n v="1124100"/>
    <x v="475"/>
    <n v="10447536600"/>
    <n v="2099369250"/>
    <n v="8348167350"/>
    <n v="1017885"/>
    <x v="9"/>
    <x v="2"/>
  </r>
  <r>
    <x v="7"/>
    <x v="1"/>
    <x v="586"/>
    <n v="13125000"/>
    <n v="9625000"/>
    <n v="3500000"/>
    <x v="476"/>
    <n v="10447536600"/>
    <n v="2099369250"/>
    <n v="8348167350"/>
    <n v="1017885"/>
    <x v="9"/>
    <x v="2"/>
  </r>
  <r>
    <x v="0"/>
    <x v="6"/>
    <x v="587"/>
    <n v="2754500"/>
    <n v="2046200"/>
    <n v="708300"/>
    <x v="477"/>
    <n v="10447536600"/>
    <n v="2099369250"/>
    <n v="8348167350"/>
    <n v="1017885"/>
    <x v="9"/>
    <x v="2"/>
  </r>
  <r>
    <x v="3"/>
    <x v="0"/>
    <x v="588"/>
    <n v="665000"/>
    <n v="558600"/>
    <n v="106400"/>
    <x v="478"/>
    <n v="10447536600"/>
    <n v="2099369250"/>
    <n v="8348167350"/>
    <n v="1017885"/>
    <x v="9"/>
    <x v="2"/>
  </r>
  <r>
    <x v="3"/>
    <x v="3"/>
    <x v="44"/>
    <n v="94185000"/>
    <n v="79534000"/>
    <n v="14651000"/>
    <x v="479"/>
    <n v="10447536600"/>
    <n v="2099369250"/>
    <n v="8348167350"/>
    <n v="1017885"/>
    <x v="9"/>
    <x v="2"/>
  </r>
  <r>
    <x v="0"/>
    <x v="2"/>
    <x v="589"/>
    <n v="2452800"/>
    <n v="1737400"/>
    <n v="715400"/>
    <x v="477"/>
    <n v="10447536600"/>
    <n v="2099369250"/>
    <n v="8348167350"/>
    <n v="1017885"/>
    <x v="9"/>
    <x v="2"/>
  </r>
  <r>
    <x v="3"/>
    <x v="6"/>
    <x v="590"/>
    <n v="1778000"/>
    <n v="1320800"/>
    <n v="457200"/>
    <x v="469"/>
    <n v="10447536600"/>
    <n v="2099369250"/>
    <n v="8348167350"/>
    <n v="1017885"/>
    <x v="9"/>
    <x v="2"/>
  </r>
  <r>
    <x v="5"/>
    <x v="4"/>
    <x v="591"/>
    <n v="2832000"/>
    <n v="1699200"/>
    <n v="1132800"/>
    <x v="472"/>
    <n v="10447536600"/>
    <n v="2099369250"/>
    <n v="8348167350"/>
    <n v="1017885"/>
    <x v="9"/>
    <x v="2"/>
  </r>
  <r>
    <x v="6"/>
    <x v="2"/>
    <x v="592"/>
    <n v="1206000"/>
    <n v="854250"/>
    <n v="351750"/>
    <x v="480"/>
    <n v="10447536600"/>
    <n v="2099369250"/>
    <n v="8348167350"/>
    <n v="1017885"/>
    <x v="9"/>
    <x v="2"/>
  </r>
  <r>
    <x v="9"/>
    <x v="6"/>
    <x v="508"/>
    <n v="1484000"/>
    <n v="1102400"/>
    <n v="381600"/>
    <x v="466"/>
    <n v="10447536600"/>
    <n v="2099369250"/>
    <n v="8348167350"/>
    <n v="1017885"/>
    <x v="9"/>
    <x v="2"/>
  </r>
  <r>
    <x v="2"/>
    <x v="3"/>
    <x v="593"/>
    <n v="76725000"/>
    <n v="64790000"/>
    <n v="11935000"/>
    <x v="473"/>
    <n v="10447536600"/>
    <n v="2099369250"/>
    <n v="8348167350"/>
    <n v="1017885"/>
    <x v="9"/>
    <x v="2"/>
  </r>
  <r>
    <x v="0"/>
    <x v="3"/>
    <x v="594"/>
    <n v="101385000"/>
    <n v="85614000"/>
    <n v="15771000"/>
    <x v="469"/>
    <n v="10447536600"/>
    <n v="2099369250"/>
    <n v="8348167350"/>
    <n v="1017885"/>
    <x v="9"/>
    <x v="2"/>
  </r>
  <r>
    <x v="0"/>
    <x v="0"/>
    <x v="595"/>
    <n v="5320000"/>
    <n v="4468800"/>
    <n v="851200"/>
    <x v="481"/>
    <n v="10447536600"/>
    <n v="2099369250"/>
    <n v="8348167350"/>
    <n v="1017885"/>
    <x v="9"/>
    <x v="2"/>
  </r>
  <r>
    <x v="5"/>
    <x v="4"/>
    <x v="565"/>
    <n v="2328000"/>
    <n v="1396800"/>
    <n v="931200"/>
    <x v="482"/>
    <n v="10447536600"/>
    <n v="2099369250"/>
    <n v="8348167350"/>
    <n v="1017885"/>
    <x v="10"/>
    <x v="2"/>
  </r>
  <r>
    <x v="7"/>
    <x v="6"/>
    <x v="34"/>
    <n v="630000"/>
    <n v="468000"/>
    <n v="162000"/>
    <x v="483"/>
    <n v="10447536600"/>
    <n v="2099369250"/>
    <n v="8348167350"/>
    <n v="1017885"/>
    <x v="10"/>
    <x v="2"/>
  </r>
  <r>
    <x v="7"/>
    <x v="4"/>
    <x v="596"/>
    <n v="5538000"/>
    <n v="3322800"/>
    <n v="2215200"/>
    <x v="484"/>
    <n v="10447536600"/>
    <n v="2099369250"/>
    <n v="8348167350"/>
    <n v="1017885"/>
    <x v="10"/>
    <x v="2"/>
  </r>
  <r>
    <x v="4"/>
    <x v="3"/>
    <x v="559"/>
    <n v="61290000"/>
    <n v="51756000"/>
    <n v="9534000"/>
    <x v="485"/>
    <n v="10447536600"/>
    <n v="2099369250"/>
    <n v="8348167350"/>
    <n v="1017885"/>
    <x v="10"/>
    <x v="2"/>
  </r>
  <r>
    <x v="1"/>
    <x v="1"/>
    <x v="597"/>
    <n v="40020000"/>
    <n v="29348000"/>
    <n v="10672000"/>
    <x v="484"/>
    <n v="10447536600"/>
    <n v="2099369250"/>
    <n v="8348167350"/>
    <n v="1017885"/>
    <x v="10"/>
    <x v="2"/>
  </r>
  <r>
    <x v="4"/>
    <x v="3"/>
    <x v="598"/>
    <n v="14715000"/>
    <n v="12426000"/>
    <n v="2289000"/>
    <x v="486"/>
    <n v="10447536600"/>
    <n v="2099369250"/>
    <n v="8348167350"/>
    <n v="1017885"/>
    <x v="10"/>
    <x v="2"/>
  </r>
  <r>
    <x v="8"/>
    <x v="1"/>
    <x v="599"/>
    <n v="14745000"/>
    <n v="10813000"/>
    <n v="3932000"/>
    <x v="487"/>
    <n v="10447536600"/>
    <n v="2099369250"/>
    <n v="8348167350"/>
    <n v="1017885"/>
    <x v="10"/>
    <x v="2"/>
  </r>
  <r>
    <x v="6"/>
    <x v="3"/>
    <x v="600"/>
    <n v="6255000"/>
    <n v="5282000"/>
    <n v="973000"/>
    <x v="488"/>
    <n v="10447536600"/>
    <n v="2099369250"/>
    <n v="8348167350"/>
    <n v="1017885"/>
    <x v="10"/>
    <x v="2"/>
  </r>
  <r>
    <x v="5"/>
    <x v="1"/>
    <x v="601"/>
    <n v="34800000"/>
    <n v="25520000"/>
    <n v="9280000"/>
    <x v="486"/>
    <n v="10447536600"/>
    <n v="2099369250"/>
    <n v="8348167350"/>
    <n v="1017885"/>
    <x v="10"/>
    <x v="2"/>
  </r>
  <r>
    <x v="0"/>
    <x v="3"/>
    <x v="509"/>
    <n v="62595000"/>
    <n v="52858000"/>
    <n v="9737000"/>
    <x v="484"/>
    <n v="10447536600"/>
    <n v="2099369250"/>
    <n v="8348167350"/>
    <n v="1017885"/>
    <x v="10"/>
    <x v="2"/>
  </r>
  <r>
    <x v="1"/>
    <x v="3"/>
    <x v="127"/>
    <n v="13500000"/>
    <n v="11400000"/>
    <n v="2100000"/>
    <x v="489"/>
    <n v="10447536600"/>
    <n v="2099369250"/>
    <n v="8348167350"/>
    <n v="1017885"/>
    <x v="10"/>
    <x v="2"/>
  </r>
  <r>
    <x v="6"/>
    <x v="3"/>
    <x v="602"/>
    <n v="111600000"/>
    <n v="94240000"/>
    <n v="17360000"/>
    <x v="490"/>
    <n v="10447536600"/>
    <n v="2099369250"/>
    <n v="8348167350"/>
    <n v="1017885"/>
    <x v="10"/>
    <x v="2"/>
  </r>
  <r>
    <x v="3"/>
    <x v="0"/>
    <x v="430"/>
    <n v="355000"/>
    <n v="298200"/>
    <n v="56800"/>
    <x v="490"/>
    <n v="10447536600"/>
    <n v="2099369250"/>
    <n v="8348167350"/>
    <n v="1017885"/>
    <x v="10"/>
    <x v="2"/>
  </r>
  <r>
    <x v="9"/>
    <x v="3"/>
    <x v="603"/>
    <n v="35955000"/>
    <n v="30362000"/>
    <n v="5593000"/>
    <x v="490"/>
    <n v="10447536600"/>
    <n v="2099369250"/>
    <n v="8348167350"/>
    <n v="1017885"/>
    <x v="10"/>
    <x v="2"/>
  </r>
  <r>
    <x v="4"/>
    <x v="0"/>
    <x v="604"/>
    <n v="4705000"/>
    <n v="3952200"/>
    <n v="752800"/>
    <x v="483"/>
    <n v="10447536600"/>
    <n v="2099369250"/>
    <n v="8348167350"/>
    <n v="1017885"/>
    <x v="10"/>
    <x v="2"/>
  </r>
  <r>
    <x v="2"/>
    <x v="4"/>
    <x v="303"/>
    <n v="6324000"/>
    <n v="3794400"/>
    <n v="2529600"/>
    <x v="491"/>
    <n v="10447536600"/>
    <n v="2099369250"/>
    <n v="8348167350"/>
    <n v="1017885"/>
    <x v="11"/>
    <x v="2"/>
  </r>
  <r>
    <x v="3"/>
    <x v="5"/>
    <x v="605"/>
    <n v="3327600"/>
    <n v="2218400"/>
    <n v="1109200"/>
    <x v="492"/>
    <n v="10447536600"/>
    <n v="2099369250"/>
    <n v="8348167350"/>
    <n v="1017885"/>
    <x v="11"/>
    <x v="2"/>
  </r>
  <r>
    <x v="9"/>
    <x v="2"/>
    <x v="606"/>
    <n v="2491200"/>
    <n v="1764600"/>
    <n v="726600"/>
    <x v="493"/>
    <n v="10447536600"/>
    <n v="2099369250"/>
    <n v="8348167350"/>
    <n v="1017885"/>
    <x v="11"/>
    <x v="2"/>
  </r>
  <r>
    <x v="5"/>
    <x v="1"/>
    <x v="607"/>
    <n v="42285000"/>
    <n v="31009000"/>
    <n v="11276000"/>
    <x v="494"/>
    <n v="10447536600"/>
    <n v="2099369250"/>
    <n v="8348167350"/>
    <n v="1017885"/>
    <x v="11"/>
    <x v="2"/>
  </r>
  <r>
    <x v="3"/>
    <x v="4"/>
    <x v="608"/>
    <n v="8973000"/>
    <n v="5383800"/>
    <n v="3589200"/>
    <x v="495"/>
    <n v="10447536600"/>
    <n v="2099369250"/>
    <n v="8348167350"/>
    <n v="1017885"/>
    <x v="11"/>
    <x v="2"/>
  </r>
  <r>
    <x v="7"/>
    <x v="4"/>
    <x v="609"/>
    <n v="2262000"/>
    <n v="1357200"/>
    <n v="904800"/>
    <x v="496"/>
    <n v="10447536600"/>
    <n v="2099369250"/>
    <n v="8348167350"/>
    <n v="1017885"/>
    <x v="11"/>
    <x v="2"/>
  </r>
  <r>
    <x v="6"/>
    <x v="5"/>
    <x v="173"/>
    <n v="1588800"/>
    <n v="1059200"/>
    <n v="529600"/>
    <x v="497"/>
    <n v="10447536600"/>
    <n v="2099369250"/>
    <n v="8348167350"/>
    <n v="1017885"/>
    <x v="11"/>
    <x v="2"/>
  </r>
  <r>
    <x v="7"/>
    <x v="2"/>
    <x v="237"/>
    <n v="898800"/>
    <n v="636650"/>
    <n v="262150"/>
    <x v="495"/>
    <n v="10447536600"/>
    <n v="2099369250"/>
    <n v="8348167350"/>
    <n v="1017885"/>
    <x v="11"/>
    <x v="2"/>
  </r>
  <r>
    <x v="0"/>
    <x v="3"/>
    <x v="610"/>
    <n v="110700000"/>
    <n v="93480000"/>
    <n v="17220000"/>
    <x v="498"/>
    <n v="10447536600"/>
    <n v="2099369250"/>
    <n v="8348167350"/>
    <n v="1017885"/>
    <x v="11"/>
    <x v="2"/>
  </r>
  <r>
    <x v="1"/>
    <x v="6"/>
    <x v="611"/>
    <n v="1739500"/>
    <n v="1292200"/>
    <n v="447300"/>
    <x v="499"/>
    <n v="10447536600"/>
    <n v="2099369250"/>
    <n v="8348167350"/>
    <n v="1017885"/>
    <x v="11"/>
    <x v="2"/>
  </r>
  <r>
    <x v="4"/>
    <x v="3"/>
    <x v="446"/>
    <n v="2295000"/>
    <n v="1938000"/>
    <n v="357000"/>
    <x v="500"/>
    <n v="10447536600"/>
    <n v="2099369250"/>
    <n v="8348167350"/>
    <n v="1017885"/>
    <x v="11"/>
    <x v="2"/>
  </r>
  <r>
    <x v="0"/>
    <x v="3"/>
    <x v="340"/>
    <n v="88875000"/>
    <n v="75050000"/>
    <n v="13825000"/>
    <x v="501"/>
    <n v="10447536600"/>
    <n v="2099369250"/>
    <n v="8348167350"/>
    <n v="1017885"/>
    <x v="11"/>
    <x v="2"/>
  </r>
  <r>
    <x v="0"/>
    <x v="6"/>
    <x v="338"/>
    <n v="4049500"/>
    <n v="3008200"/>
    <n v="1041300"/>
    <x v="496"/>
    <n v="10447536600"/>
    <n v="2099369250"/>
    <n v="8348167350"/>
    <n v="1017885"/>
    <x v="11"/>
    <x v="2"/>
  </r>
  <r>
    <x v="9"/>
    <x v="6"/>
    <x v="612"/>
    <n v="4606000"/>
    <n v="3421600"/>
    <n v="1184400"/>
    <x v="502"/>
    <n v="10447536600"/>
    <n v="2099369250"/>
    <n v="8348167350"/>
    <n v="1017885"/>
    <x v="11"/>
    <x v="2"/>
  </r>
  <r>
    <x v="5"/>
    <x v="6"/>
    <x v="613"/>
    <n v="7136500"/>
    <n v="5301400"/>
    <n v="1835100"/>
    <x v="503"/>
    <n v="10447536600"/>
    <n v="2099369250"/>
    <n v="8348167350"/>
    <n v="1017885"/>
    <x v="11"/>
    <x v="2"/>
  </r>
  <r>
    <x v="7"/>
    <x v="3"/>
    <x v="614"/>
    <n v="59535000"/>
    <n v="50274000"/>
    <n v="9261000"/>
    <x v="504"/>
    <n v="10447536600"/>
    <n v="2099369250"/>
    <n v="8348167350"/>
    <n v="1017885"/>
    <x v="11"/>
    <x v="2"/>
  </r>
  <r>
    <x v="4"/>
    <x v="4"/>
    <x v="615"/>
    <n v="957000"/>
    <n v="574200"/>
    <n v="382800"/>
    <x v="496"/>
    <n v="10447536600"/>
    <n v="2099369250"/>
    <n v="8348167350"/>
    <n v="1017885"/>
    <x v="11"/>
    <x v="2"/>
  </r>
  <r>
    <x v="0"/>
    <x v="0"/>
    <x v="616"/>
    <n v="5540000"/>
    <n v="4653600"/>
    <n v="886400"/>
    <x v="502"/>
    <n v="10447536600"/>
    <n v="2099369250"/>
    <n v="8348167350"/>
    <n v="1017885"/>
    <x v="11"/>
    <x v="2"/>
  </r>
  <r>
    <x v="9"/>
    <x v="5"/>
    <x v="617"/>
    <n v="296400"/>
    <n v="197600"/>
    <n v="98800"/>
    <x v="501"/>
    <n v="10447536600"/>
    <n v="2099369250"/>
    <n v="8348167350"/>
    <n v="1017885"/>
    <x v="11"/>
    <x v="2"/>
  </r>
  <r>
    <x v="1"/>
    <x v="2"/>
    <x v="618"/>
    <n v="1509600"/>
    <n v="1069300"/>
    <n v="440300"/>
    <x v="505"/>
    <n v="10447536600"/>
    <n v="2099369250"/>
    <n v="8348167350"/>
    <n v="1017885"/>
    <x v="11"/>
    <x v="2"/>
  </r>
  <r>
    <x v="6"/>
    <x v="5"/>
    <x v="619"/>
    <n v="213600"/>
    <n v="142400"/>
    <n v="71200"/>
    <x v="500"/>
    <n v="10447536600"/>
    <n v="2099369250"/>
    <n v="8348167350"/>
    <n v="1017885"/>
    <x v="1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E5DAA2-2BB8-4C75-BD0A-93284641E718}" name="PivotTable1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47:E55" firstHeaderRow="1" firstDataRow="1" firstDataCol="1"/>
  <pivotFields count="13">
    <pivotField showAll="0">
      <items count="11">
        <item x="5"/>
        <item x="9"/>
        <item x="4"/>
        <item x="3"/>
        <item x="0"/>
        <item x="8"/>
        <item x="7"/>
        <item x="1"/>
        <item x="6"/>
        <item x="2"/>
        <item t="default"/>
      </items>
    </pivotField>
    <pivotField axis="axisRow" showAll="0" sortType="descending">
      <items count="8">
        <item x="2"/>
        <item x="0"/>
        <item x="6"/>
        <item x="5"/>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pivotField numFmtId="165" showAll="0"/>
    <pivotField numFmtId="165" showAll="0"/>
    <pivotField showAll="0"/>
    <pivotField showAll="0"/>
    <pivotField showAll="0"/>
  </pivotFields>
  <rowFields count="1">
    <field x="1"/>
  </rowFields>
  <rowItems count="8">
    <i>
      <x v="6"/>
    </i>
    <i>
      <x v="5"/>
    </i>
    <i>
      <x v="4"/>
    </i>
    <i>
      <x v="2"/>
    </i>
    <i>
      <x v="1"/>
    </i>
    <i>
      <x v="3"/>
    </i>
    <i>
      <x/>
    </i>
    <i t="grand">
      <x/>
    </i>
  </rowItems>
  <colItems count="1">
    <i/>
  </colItems>
  <dataFields count="1">
    <dataField name="Sum of Profit" fld="5" baseField="0" baseItem="0" numFmtId="165"/>
  </dataFields>
  <formats count="4">
    <format dxfId="2">
      <pivotArea dataOnly="0" outline="0" axis="axisValues" fieldPosition="0"/>
    </format>
    <format dxfId="3">
      <pivotArea collapsedLevelsAreSubtotals="1" fieldPosition="0">
        <references count="1">
          <reference field="1" count="1">
            <x v="6"/>
          </reference>
        </references>
      </pivotArea>
    </format>
    <format dxfId="4">
      <pivotArea collapsedLevelsAreSubtotals="1" fieldPosition="0">
        <references count="1">
          <reference field="1" count="1">
            <x v="5"/>
          </reference>
        </references>
      </pivotArea>
    </format>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50083-BDB4-4478-8A71-A385E7556DBF}" name="PivotTable1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4:E15" firstHeaderRow="1"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items count="8">
        <item x="2"/>
        <item x="0"/>
        <item x="6"/>
        <item x="5"/>
        <item x="4"/>
        <item x="1"/>
        <item x="3"/>
        <item t="default"/>
      </items>
    </pivotField>
    <pivotField showAll="0"/>
    <pivotField dataField="1" showAll="0"/>
    <pivotField showAll="0"/>
    <pivotField showAll="0"/>
    <pivotField numFmtId="14" showAll="0"/>
    <pivotField numFmtId="164" showAll="0"/>
    <pivotField numFmtId="165" showAll="0"/>
    <pivotField numFmtId="165"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0"/>
  </dataFields>
  <formats count="2">
    <format dxfId="6">
      <pivotArea dataOnly="0" outline="0" axis="axisValues" fieldPosition="0"/>
    </format>
    <format dxfId="7">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25B56F-351A-4BB6-B7EA-C8F79970810C}" name="PivotTable1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2:E43" firstHeaderRow="1"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items count="8">
        <item x="2"/>
        <item x="0"/>
        <item x="6"/>
        <item x="5"/>
        <item x="4"/>
        <item x="1"/>
        <item x="3"/>
        <item t="default"/>
      </items>
    </pivotField>
    <pivotField showAll="0"/>
    <pivotField dataField="1" showAll="0"/>
    <pivotField showAll="0"/>
    <pivotField showAll="0"/>
    <pivotField numFmtId="14" showAll="0"/>
    <pivotField numFmtId="164" showAll="0"/>
    <pivotField numFmtId="165" showAll="0"/>
    <pivotField numFmtId="165"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0"/>
  </dataFields>
  <formats count="2">
    <format dxfId="8">
      <pivotArea dataOnly="0" outline="0" axis="axisValues" fieldPosition="0"/>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D6BB1C-D522-405A-9B49-6224C3844BA3}" name="PivotTable1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8:F29" firstHeaderRow="0"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dataField="1" showAll="0">
      <items count="8">
        <item x="2"/>
        <item x="0"/>
        <item x="6"/>
        <item x="5"/>
        <item x="4"/>
        <item x="1"/>
        <item x="3"/>
        <item t="default"/>
      </items>
    </pivotField>
    <pivotField showAll="0"/>
    <pivotField dataField="1" showAll="0"/>
    <pivotField showAll="0"/>
    <pivotField showAll="0"/>
    <pivotField numFmtId="14" showAll="0"/>
    <pivotField numFmtId="164" showAll="0"/>
    <pivotField numFmtId="165" showAll="0"/>
    <pivotField numFmtId="165"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0"/>
  </rowFields>
  <rowItems count="11">
    <i>
      <x v="4"/>
    </i>
    <i>
      <x v="8"/>
    </i>
    <i>
      <x/>
    </i>
    <i>
      <x v="3"/>
    </i>
    <i>
      <x v="5"/>
    </i>
    <i>
      <x v="2"/>
    </i>
    <i>
      <x v="9"/>
    </i>
    <i>
      <x v="1"/>
    </i>
    <i>
      <x v="7"/>
    </i>
    <i>
      <x v="6"/>
    </i>
    <i t="grand">
      <x/>
    </i>
  </rowItems>
  <colFields count="1">
    <field x="-2"/>
  </colFields>
  <colItems count="2">
    <i>
      <x/>
    </i>
    <i i="1">
      <x v="1"/>
    </i>
  </colItems>
  <dataFields count="2">
    <dataField name="Sum of Revenue" fld="3" baseField="0" baseItem="0"/>
    <dataField name="Count of Product" fld="1" subtotal="count" baseField="0" baseItem="0"/>
  </dataFields>
  <formats count="2">
    <format dxfId="12">
      <pivotArea dataOnly="0" outline="0" axis="axisValues" fieldPosition="0"/>
    </format>
    <format dxfId="1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80ADF5-2CF0-44A2-83FE-2D2315B28E27}" name="PivotTable10"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9:B113" firstHeaderRow="1" firstDataRow="1" firstDataCol="1"/>
  <pivotFields count="13">
    <pivotField showAll="0">
      <items count="11">
        <item x="5"/>
        <item x="9"/>
        <item x="4"/>
        <item x="3"/>
        <item x="0"/>
        <item x="8"/>
        <item x="7"/>
        <item x="1"/>
        <item x="6"/>
        <item x="2"/>
        <item t="default"/>
      </items>
    </pivotField>
    <pivotField showAll="0">
      <items count="8">
        <item x="2"/>
        <item x="0"/>
        <item x="6"/>
        <item x="5"/>
        <item x="4"/>
        <item x="1"/>
        <item x="3"/>
        <item t="default"/>
      </items>
    </pivotField>
    <pivotField showAll="0"/>
    <pivotField dataField="1" showAll="0"/>
    <pivotField showAll="0"/>
    <pivotField showAll="0"/>
    <pivotField numFmtId="14" showAll="0"/>
    <pivotField numFmtId="164" showAll="0"/>
    <pivotField numFmtId="165" showAll="0"/>
    <pivotField numFmtId="165"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2"/>
  </rowFields>
  <rowItems count="4">
    <i>
      <x v="1"/>
    </i>
    <i>
      <x v="2"/>
    </i>
    <i>
      <x/>
    </i>
    <i t="grand">
      <x/>
    </i>
  </rowItems>
  <colItems count="1">
    <i/>
  </colItems>
  <dataFields count="1">
    <dataField name="Sum of Revenue" fld="3" baseField="0" baseItem="0"/>
  </dataFields>
  <formats count="3">
    <format dxfId="14">
      <pivotArea dataOnly="0" outline="0" axis="axisValues" fieldPosition="0"/>
    </format>
    <format dxfId="15">
      <pivotArea grandRow="1" outline="0" collapsedLevelsAreSubtotals="1" fieldPosition="0"/>
    </format>
    <format dxfId="16">
      <pivotArea collapsedLevelsAreSubtotals="1" fieldPosition="0">
        <references count="1">
          <reference field="12"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C4D6B4-2797-475F-8E3D-0C70528102C2}" name="PivotTable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98:B106" firstHeaderRow="1" firstDataRow="1" firstDataCol="1"/>
  <pivotFields count="13">
    <pivotField showAll="0">
      <items count="11">
        <item x="5"/>
        <item x="9"/>
        <item x="4"/>
        <item x="3"/>
        <item x="0"/>
        <item x="8"/>
        <item x="7"/>
        <item x="1"/>
        <item x="6"/>
        <item x="2"/>
        <item t="default"/>
      </items>
    </pivotField>
    <pivotField axis="axisRow" showAll="0" sortType="descending">
      <items count="8">
        <item x="2"/>
        <item x="0"/>
        <item x="6"/>
        <item x="5"/>
        <item x="4"/>
        <item x="1"/>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pivotField numFmtId="164" showAll="0"/>
    <pivotField numFmtId="165" showAll="0"/>
    <pivotField numFmtId="165" showAll="0"/>
    <pivotField showAll="0"/>
    <pivotField showAll="0"/>
    <pivotField showAll="0"/>
  </pivotFields>
  <rowFields count="1">
    <field x="1"/>
  </rowFields>
  <rowItems count="8">
    <i>
      <x v="2"/>
    </i>
    <i>
      <x v="3"/>
    </i>
    <i>
      <x v="5"/>
    </i>
    <i>
      <x v="4"/>
    </i>
    <i>
      <x v="1"/>
    </i>
    <i>
      <x v="6"/>
    </i>
    <i>
      <x/>
    </i>
    <i t="grand">
      <x/>
    </i>
  </rowItems>
  <colItems count="1">
    <i/>
  </colItems>
  <dataFields count="1">
    <dataField name="Sum of Units Sold" fld="2" baseField="0" baseItem="0" numFmtId="41"/>
  </dataFields>
  <formats count="3">
    <format dxfId="17">
      <pivotArea dataOnly="0" outline="0" axis="axisValues" fieldPosition="0"/>
    </format>
    <format dxfId="18">
      <pivotArea collapsedLevelsAreSubtotals="1" fieldPosition="0">
        <references count="1">
          <reference field="1" count="0"/>
        </references>
      </pivotArea>
    </format>
    <format dxfId="1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097FF7-F50D-4D97-BF34-F61F78A0A374}" name="PivotTable8"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85:C86" firstHeaderRow="0" firstDataRow="1" firstDataCol="0"/>
  <pivotFields count="13">
    <pivotField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items count="8">
        <item x="2"/>
        <item x="0"/>
        <item x="6"/>
        <item x="5"/>
        <item x="4"/>
        <item x="1"/>
        <item x="3"/>
        <item t="default"/>
      </items>
    </pivotField>
    <pivotField showAll="0"/>
    <pivotField dataField="1" showAll="0"/>
    <pivotField dataField="1" showAll="0"/>
    <pivotField dataField="1" showAll="0"/>
    <pivotField numFmtId="14" showAll="0"/>
    <pivotField numFmtId="164" showAll="0"/>
    <pivotField numFmtId="165" showAll="0"/>
    <pivotField numFmtId="165" showAll="0"/>
    <pivotField showAll="0"/>
    <pivotField showAll="0"/>
    <pivotField showAll="0"/>
  </pivotFields>
  <rowItems count="1">
    <i/>
  </rowItems>
  <colFields count="1">
    <field x="-2"/>
  </colFields>
  <colItems count="3">
    <i>
      <x/>
    </i>
    <i i="1">
      <x v="1"/>
    </i>
    <i i="2">
      <x v="2"/>
    </i>
  </colItems>
  <dataFields count="3">
    <dataField name="Sum of Revenue" fld="3" baseField="0" baseItem="0"/>
    <dataField name="Sum of Cost" fld="4" baseField="0" baseItem="0"/>
    <dataField name="Sum of Profit" fld="5" baseField="0" baseItem="0"/>
  </dataFields>
  <formats count="2">
    <format dxfId="20">
      <pivotArea dataOnly="0" outline="0" axis="axisValues"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3EAEC2-A736-4332-95BD-39FD8EE8657D}" name="PivotTable7"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1:C82" firstHeaderRow="0"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items count="8">
        <item x="2"/>
        <item x="0"/>
        <item x="6"/>
        <item x="5"/>
        <item x="4"/>
        <item x="1"/>
        <item x="3"/>
        <item t="default"/>
      </items>
    </pivotField>
    <pivotField showAll="0"/>
    <pivotField dataField="1" showAll="0"/>
    <pivotField dataField="1" showAll="0"/>
    <pivotField showAll="0"/>
    <pivotField numFmtId="14" showAll="0"/>
    <pivotField numFmtId="164" showAll="0"/>
    <pivotField numFmtId="165" showAll="0"/>
    <pivotField numFmtId="165" showAll="0"/>
    <pivotField showAll="0"/>
    <pivotField showAll="0"/>
    <pivotField showAll="0"/>
  </pivotFields>
  <rowFields count="1">
    <field x="0"/>
  </rowFields>
  <rowItems count="11">
    <i>
      <x v="4"/>
    </i>
    <i>
      <x v="8"/>
    </i>
    <i>
      <x/>
    </i>
    <i>
      <x v="3"/>
    </i>
    <i>
      <x v="5"/>
    </i>
    <i>
      <x v="2"/>
    </i>
    <i>
      <x v="9"/>
    </i>
    <i>
      <x v="1"/>
    </i>
    <i>
      <x v="7"/>
    </i>
    <i>
      <x v="6"/>
    </i>
    <i t="grand">
      <x/>
    </i>
  </rowItems>
  <colFields count="1">
    <field x="-2"/>
  </colFields>
  <colItems count="2">
    <i>
      <x/>
    </i>
    <i i="1">
      <x v="1"/>
    </i>
  </colItems>
  <dataFields count="2">
    <dataField name="Sum of Revenue" fld="3" baseField="0" baseItem="0"/>
    <dataField name="Sum of Cost" fld="4" baseField="0" baseItem="0"/>
  </dataFields>
  <formats count="2">
    <format dxfId="22">
      <pivotArea dataOnly="0" outline="0" axis="axisValues"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7C51AF-16BB-469C-8149-AB9666603A87}"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7:B68" firstHeaderRow="1"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sortType="descending">
      <items count="8">
        <item x="2"/>
        <item x="0"/>
        <item x="6"/>
        <item x="5"/>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pivotField numFmtId="165" showAll="0"/>
    <pivotField numFmtId="165" showAll="0"/>
    <pivotField showAll="0"/>
    <pivotField showAll="0"/>
    <pivotField showAll="0"/>
  </pivotFields>
  <rowFields count="1">
    <field x="0"/>
  </rowFields>
  <rowItems count="11">
    <i>
      <x v="4"/>
    </i>
    <i>
      <x/>
    </i>
    <i>
      <x v="8"/>
    </i>
    <i>
      <x v="3"/>
    </i>
    <i>
      <x v="5"/>
    </i>
    <i>
      <x v="2"/>
    </i>
    <i>
      <x v="1"/>
    </i>
    <i>
      <x v="9"/>
    </i>
    <i>
      <x v="7"/>
    </i>
    <i>
      <x v="6"/>
    </i>
    <i t="grand">
      <x/>
    </i>
  </rowItems>
  <colItems count="1">
    <i/>
  </colItems>
  <dataFields count="1">
    <dataField name="Sum of Profit" fld="5" baseField="0" baseItem="0" numFmtId="165"/>
  </dataFields>
  <formats count="2">
    <format dxfId="24">
      <pivotArea dataOnly="0" outline="0" axis="axisValues" fieldPosition="0"/>
    </format>
    <format dxfId="2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49282E-CF1C-4103-BCB2-CDEAF7D6D7CC}" name="PivotTable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6:B54" firstHeaderRow="1" firstDataRow="1" firstDataCol="1"/>
  <pivotFields count="13">
    <pivotField showAll="0">
      <items count="11">
        <item x="5"/>
        <item x="9"/>
        <item x="4"/>
        <item x="3"/>
        <item x="0"/>
        <item x="8"/>
        <item x="7"/>
        <item x="1"/>
        <item x="6"/>
        <item x="2"/>
        <item t="default"/>
      </items>
    </pivotField>
    <pivotField axis="axisRow" showAll="0" sortType="descending">
      <items count="8">
        <item x="2"/>
        <item x="0"/>
        <item x="6"/>
        <item x="5"/>
        <item x="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numFmtId="164" showAll="0"/>
    <pivotField numFmtId="165" showAll="0"/>
    <pivotField numFmtId="165" showAll="0"/>
    <pivotField showAll="0"/>
    <pivotField showAll="0"/>
    <pivotField showAll="0"/>
  </pivotFields>
  <rowFields count="1">
    <field x="1"/>
  </rowFields>
  <rowItems count="8">
    <i>
      <x v="6"/>
    </i>
    <i>
      <x v="5"/>
    </i>
    <i>
      <x v="4"/>
    </i>
    <i>
      <x v="2"/>
    </i>
    <i>
      <x v="1"/>
    </i>
    <i>
      <x v="3"/>
    </i>
    <i>
      <x/>
    </i>
    <i t="grand">
      <x/>
    </i>
  </rowItems>
  <colItems count="1">
    <i/>
  </colItems>
  <dataFields count="1">
    <dataField name="Sum of Profit" fld="5" baseField="0" baseItem="0" numFmtId="165"/>
  </dataFields>
  <formats count="4">
    <format dxfId="26">
      <pivotArea dataOnly="0" outline="0" axis="axisValues" fieldPosition="0"/>
    </format>
    <format dxfId="27">
      <pivotArea collapsedLevelsAreSubtotals="1" fieldPosition="0">
        <references count="1">
          <reference field="1" count="1">
            <x v="6"/>
          </reference>
        </references>
      </pivotArea>
    </format>
    <format dxfId="28">
      <pivotArea collapsedLevelsAreSubtotals="1" fieldPosition="0">
        <references count="1">
          <reference field="1" count="1">
            <x v="5"/>
          </reference>
        </references>
      </pivotArea>
    </format>
    <format dxfId="2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0E0862-AA76-419D-940D-28BA69ACC384}"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2:B43" firstHeaderRow="1"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4" showAll="0"/>
    <pivotField numFmtId="164" showAll="0"/>
    <pivotField numFmtId="165" showAll="0"/>
    <pivotField numFmtId="165" showAll="0"/>
    <pivotField showAll="0"/>
    <pivotField showAll="0"/>
    <pivotField showAll="0"/>
  </pivotFields>
  <rowFields count="1">
    <field x="0"/>
  </rowFields>
  <rowItems count="11">
    <i>
      <x v="4"/>
    </i>
    <i>
      <x v="1"/>
    </i>
    <i>
      <x/>
    </i>
    <i>
      <x v="3"/>
    </i>
    <i>
      <x v="5"/>
    </i>
    <i>
      <x v="8"/>
    </i>
    <i>
      <x v="7"/>
    </i>
    <i>
      <x v="9"/>
    </i>
    <i>
      <x v="6"/>
    </i>
    <i>
      <x v="2"/>
    </i>
    <i t="grand">
      <x/>
    </i>
  </rowItems>
  <colItems count="1">
    <i/>
  </colItems>
  <dataFields count="1">
    <dataField name="Sum of Units Sold" fld="2" baseField="0" baseItem="0"/>
  </dataFields>
  <formats count="1">
    <format dxfId="30">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39B55E-112A-4837-B61A-0A7315115081}"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B29" firstHeaderRow="1"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14" showAll="0"/>
    <pivotField numFmtId="164" showAll="0"/>
    <pivotField numFmtId="165" showAll="0"/>
    <pivotField numFmtId="165" showAll="0"/>
    <pivotField showAll="0"/>
    <pivotField showAll="0"/>
    <pivotField showAll="0"/>
  </pivotFields>
  <rowFields count="1">
    <field x="0"/>
  </rowFields>
  <rowItems count="11">
    <i>
      <x v="4"/>
    </i>
    <i>
      <x v="8"/>
    </i>
    <i>
      <x/>
    </i>
    <i>
      <x v="3"/>
    </i>
    <i>
      <x v="5"/>
    </i>
    <i>
      <x v="2"/>
    </i>
    <i>
      <x v="9"/>
    </i>
    <i>
      <x v="1"/>
    </i>
    <i>
      <x v="7"/>
    </i>
    <i>
      <x v="6"/>
    </i>
    <i t="grand">
      <x/>
    </i>
  </rowItems>
  <colItems count="1">
    <i/>
  </colItems>
  <dataFields count="1">
    <dataField name="Sum of Revenue" fld="3" baseField="0" baseItem="0" numFmtId="165"/>
  </dataFields>
  <formats count="1">
    <format dxfId="31">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E677A8-B33A-416D-9C1D-799F6A92131B}"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13">
    <pivotField axis="axisRow" showAll="0" sortType="descending">
      <items count="11">
        <item x="5"/>
        <item x="9"/>
        <item x="4"/>
        <item x="3"/>
        <item x="0"/>
        <item x="8"/>
        <item x="7"/>
        <item x="1"/>
        <item x="6"/>
        <item x="2"/>
        <item t="default"/>
      </items>
      <autoSortScope>
        <pivotArea dataOnly="0" outline="0" fieldPosition="0">
          <references count="1">
            <reference field="4294967294" count="1" selected="0">
              <x v="0"/>
            </reference>
          </references>
        </pivotArea>
      </autoSortScope>
    </pivotField>
    <pivotField showAll="0">
      <items count="8">
        <item x="2"/>
        <item x="0"/>
        <item x="6"/>
        <item x="5"/>
        <item x="4"/>
        <item x="1"/>
        <item x="3"/>
        <item t="default"/>
      </items>
    </pivotField>
    <pivotField showAll="0"/>
    <pivotField dataField="1" showAll="0"/>
    <pivotField showAll="0"/>
    <pivotField showAll="0"/>
    <pivotField numFmtId="14" showAll="0"/>
    <pivotField numFmtId="164" showAll="0"/>
    <pivotField numFmtId="165" showAll="0"/>
    <pivotField numFmtId="165" showAll="0"/>
    <pivotField showAll="0"/>
    <pivotField showAll="0"/>
    <pivotField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0"/>
  </rowFields>
  <rowItems count="11">
    <i>
      <x v="4"/>
    </i>
    <i>
      <x v="8"/>
    </i>
    <i>
      <x/>
    </i>
    <i>
      <x v="3"/>
    </i>
    <i>
      <x v="5"/>
    </i>
    <i>
      <x v="2"/>
    </i>
    <i>
      <x v="9"/>
    </i>
    <i>
      <x v="1"/>
    </i>
    <i>
      <x v="7"/>
    </i>
    <i>
      <x v="6"/>
    </i>
    <i t="grand">
      <x/>
    </i>
  </rowItems>
  <colItems count="1">
    <i/>
  </colItems>
  <dataFields count="1">
    <dataField name="Sum of Revenue" fld="3" baseField="0" baseItem="0"/>
  </dataFields>
  <formats count="2">
    <format dxfId="10">
      <pivotArea dataOnly="0" outline="0" axis="axisValues" fieldPosition="0"/>
    </format>
    <format dxfId="1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336749-20B2-4455-9B03-B493A83AE171}" autoFormatId="16" applyNumberFormats="0" applyBorderFormats="0" applyFontFormats="0" applyPatternFormats="0" applyAlignmentFormats="0" applyWidthHeightFormats="0">
  <queryTableRefresh nextId="14" unboundColumnsRight="6">
    <queryTableFields count="13">
      <queryTableField id="1" name="Country" tableColumnId="1"/>
      <queryTableField id="2" name="Product" tableColumnId="2"/>
      <queryTableField id="3" name="Units Sold" tableColumnId="3"/>
      <queryTableField id="4" name="Revenue" tableColumnId="4"/>
      <queryTableField id="5" name="Cost" tableColumnId="5"/>
      <queryTableField id="6" name="Profit" tableColumnId="6"/>
      <queryTableField id="7" name="Date"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3DC7ABD-4DA8-4841-B9F1-9F98803F42ED}" sourceName="Country">
  <pivotTables>
    <pivotTable tabId="3" name="PivotTable11"/>
  </pivotTables>
  <data>
    <tabular pivotCacheId="1086788694">
      <items count="10">
        <i x="5" s="1"/>
        <i x="9" s="1"/>
        <i x="4" s="1"/>
        <i x="3" s="1"/>
        <i x="0" s="1"/>
        <i x="8" s="1"/>
        <i x="7" s="1"/>
        <i x="1"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7A92C9-1977-4D3E-9737-C3DF7B1535D9}" sourceName="Product">
  <pivotTables>
    <pivotTable tabId="3" name="PivotTable11"/>
  </pivotTables>
  <data>
    <tabular pivotCacheId="1086788694">
      <items count="7">
        <i x="2" s="1"/>
        <i x="0" s="1"/>
        <i x="6" s="1"/>
        <i x="5"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8FBFA9E-8C22-4062-9AD8-30923E8DBAE3}" cache="Slicer_Country" caption="Country" rowHeight="241300"/>
  <slicer name="Product" xr10:uid="{CA16D30A-B7F4-4593-AE3F-806D41CB2B97}"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5BA2C9E-E2C6-4C39-89C1-FF964828DFFA}" cache="Slicer_Product" caption="Produc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088A04-A3A0-4886-AEC7-1D96A1CF4BA1}" name="Data" displayName="Data" ref="A1:M701" tableType="queryTable" totalsRowShown="0">
  <autoFilter ref="A1:M701" xr:uid="{3B088A04-A3A0-4886-AEC7-1D96A1CF4BA1}"/>
  <sortState xmlns:xlrd2="http://schemas.microsoft.com/office/spreadsheetml/2017/richdata2" ref="A2:M701">
    <sortCondition ref="M1:M701"/>
  </sortState>
  <tableColumns count="13">
    <tableColumn id="1" xr3:uid="{7A0E90DF-650E-4F1B-BC9F-060FFE0B5D1F}" uniqueName="1" name="Country" queryTableFieldId="1" dataDxfId="40"/>
    <tableColumn id="2" xr3:uid="{5B45CD58-68DD-47D3-8D82-EBF229363139}" uniqueName="2" name="Product" queryTableFieldId="2" dataDxfId="39"/>
    <tableColumn id="3" xr3:uid="{A573EE14-705E-496C-9B79-C98D1BC3497E}" uniqueName="3" name="Units Sold" queryTableFieldId="3"/>
    <tableColumn id="4" xr3:uid="{D2CDE279-0F07-4767-8920-7F12616E2056}" uniqueName="4" name="Revenue" queryTableFieldId="4"/>
    <tableColumn id="5" xr3:uid="{23238917-F9C3-478E-ABD9-9C629F0167D5}" uniqueName="5" name="Cost" queryTableFieldId="5"/>
    <tableColumn id="6" xr3:uid="{8A1AA449-BCDD-4201-B8C7-3DCD25A8C8B5}" uniqueName="6" name="Profit" queryTableFieldId="6"/>
    <tableColumn id="7" xr3:uid="{1E11DB37-AED3-42EB-8265-5D1B7828F847}" uniqueName="7" name="Date" queryTableFieldId="7" dataDxfId="38"/>
    <tableColumn id="8" xr3:uid="{FB4B5F3E-1E37-4D45-B12A-E79B80F1DC2B}" uniqueName="8" name="Total revenue" queryTableFieldId="8" dataDxfId="37">
      <calculatedColumnFormula>SUM(D:D)</calculatedColumnFormula>
    </tableColumn>
    <tableColumn id="9" xr3:uid="{8976A9DA-5814-4608-8BB6-717ADFDE0754}" uniqueName="9" name="Total profit" queryTableFieldId="9" dataDxfId="36">
      <calculatedColumnFormula>SUM(F:F)</calculatedColumnFormula>
    </tableColumn>
    <tableColumn id="10" xr3:uid="{2DAFBDB0-6245-4E22-B90F-87493687EB12}" uniqueName="10" name="Total cost" queryTableFieldId="10" dataDxfId="35">
      <calculatedColumnFormula>SUM(E:E)</calculatedColumnFormula>
    </tableColumn>
    <tableColumn id="11" xr3:uid="{208C76D8-ACF4-4E67-BF67-161F8B8B6D3E}" uniqueName="11" name="Total unit sold" queryTableFieldId="11" dataDxfId="34">
      <calculatedColumnFormula>SUM(C:C)</calculatedColumnFormula>
    </tableColumn>
    <tableColumn id="12" xr3:uid="{0FB8D41A-4BE6-4558-8FE1-353F1A02C88B}" uniqueName="12" name="Month" queryTableFieldId="12" dataDxfId="33">
      <calculatedColumnFormula>MONTH(G:G)</calculatedColumnFormula>
    </tableColumn>
    <tableColumn id="13" xr3:uid="{3AEC3092-DFB0-469C-A58C-AE0A92248539}" uniqueName="13" name="Year" queryTableFieldId="13" dataDxfId="32">
      <calculatedColumnFormula>YEAR(G:G)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6D85E-2C60-4379-8519-F2A3ED5854D3}">
  <dimension ref="A3:F117"/>
  <sheetViews>
    <sheetView topLeftCell="A105" workbookViewId="0"/>
  </sheetViews>
  <sheetFormatPr defaultRowHeight="15" x14ac:dyDescent="0.25"/>
  <cols>
    <col min="1" max="1" width="16.7109375" bestFit="1" customWidth="1"/>
    <col min="2" max="3" width="15.7109375" bestFit="1" customWidth="1"/>
    <col min="4" max="4" width="13.140625" bestFit="1" customWidth="1"/>
    <col min="5" max="5" width="15.5703125" bestFit="1" customWidth="1"/>
    <col min="6" max="6" width="16" bestFit="1" customWidth="1"/>
    <col min="7" max="10" width="16.28515625" bestFit="1" customWidth="1"/>
    <col min="11" max="11" width="11.28515625" bestFit="1" customWidth="1"/>
  </cols>
  <sheetData>
    <row r="3" spans="1:5" x14ac:dyDescent="0.25">
      <c r="A3" s="5" t="s">
        <v>31</v>
      </c>
      <c r="B3" s="7" t="s">
        <v>32</v>
      </c>
    </row>
    <row r="4" spans="1:5" x14ac:dyDescent="0.25">
      <c r="A4" s="6" t="s">
        <v>21</v>
      </c>
      <c r="B4" s="1">
        <v>1622388900</v>
      </c>
      <c r="D4" s="5" t="s">
        <v>31</v>
      </c>
      <c r="E4" s="7" t="s">
        <v>32</v>
      </c>
    </row>
    <row r="5" spans="1:5" x14ac:dyDescent="0.25">
      <c r="A5" s="6" t="s">
        <v>22</v>
      </c>
      <c r="B5" s="1">
        <v>1254735500</v>
      </c>
      <c r="D5" s="6" t="s">
        <v>21</v>
      </c>
      <c r="E5" s="1">
        <v>1622388900</v>
      </c>
    </row>
    <row r="6" spans="1:5" x14ac:dyDescent="0.25">
      <c r="A6" s="6" t="s">
        <v>7</v>
      </c>
      <c r="B6" s="1">
        <v>1162177600</v>
      </c>
      <c r="D6" s="6" t="s">
        <v>22</v>
      </c>
      <c r="E6" s="1">
        <v>1254735500</v>
      </c>
    </row>
    <row r="7" spans="1:5" x14ac:dyDescent="0.25">
      <c r="A7" s="6" t="s">
        <v>16</v>
      </c>
      <c r="B7" s="1">
        <v>1144351400</v>
      </c>
      <c r="D7" s="6" t="s">
        <v>7</v>
      </c>
      <c r="E7" s="1">
        <v>1162177600</v>
      </c>
    </row>
    <row r="8" spans="1:5" x14ac:dyDescent="0.25">
      <c r="A8" s="6" t="s">
        <v>15</v>
      </c>
      <c r="B8" s="1">
        <v>1090844300</v>
      </c>
      <c r="D8" s="6" t="s">
        <v>16</v>
      </c>
      <c r="E8" s="1">
        <v>1144351400</v>
      </c>
    </row>
    <row r="9" spans="1:5" x14ac:dyDescent="0.25">
      <c r="A9" s="6" t="s">
        <v>20</v>
      </c>
      <c r="B9" s="1">
        <v>970455400</v>
      </c>
      <c r="D9" s="6" t="s">
        <v>15</v>
      </c>
      <c r="E9" s="1">
        <v>1090844300</v>
      </c>
    </row>
    <row r="10" spans="1:5" x14ac:dyDescent="0.25">
      <c r="A10" s="6" t="s">
        <v>11</v>
      </c>
      <c r="B10" s="1">
        <v>885517200</v>
      </c>
      <c r="D10" s="6" t="s">
        <v>20</v>
      </c>
      <c r="E10" s="1">
        <v>970455400</v>
      </c>
    </row>
    <row r="11" spans="1:5" x14ac:dyDescent="0.25">
      <c r="A11" s="6" t="s">
        <v>13</v>
      </c>
      <c r="B11" s="1">
        <v>871416700</v>
      </c>
      <c r="D11" s="6" t="s">
        <v>11</v>
      </c>
      <c r="E11" s="1">
        <v>885517200</v>
      </c>
    </row>
    <row r="12" spans="1:5" x14ac:dyDescent="0.25">
      <c r="A12" s="6" t="s">
        <v>9</v>
      </c>
      <c r="B12" s="1">
        <v>779041300</v>
      </c>
      <c r="D12" s="6" t="s">
        <v>13</v>
      </c>
      <c r="E12" s="1">
        <v>871416700</v>
      </c>
    </row>
    <row r="13" spans="1:5" x14ac:dyDescent="0.25">
      <c r="A13" s="6" t="s">
        <v>18</v>
      </c>
      <c r="B13" s="1">
        <v>666608300</v>
      </c>
      <c r="D13" s="6" t="s">
        <v>9</v>
      </c>
      <c r="E13" s="1">
        <v>779041300</v>
      </c>
    </row>
    <row r="14" spans="1:5" x14ac:dyDescent="0.25">
      <c r="A14" s="6" t="s">
        <v>30</v>
      </c>
      <c r="B14" s="7">
        <v>10447536600</v>
      </c>
      <c r="D14" s="6" t="s">
        <v>18</v>
      </c>
      <c r="E14" s="1">
        <v>666608300</v>
      </c>
    </row>
    <row r="15" spans="1:5" x14ac:dyDescent="0.25">
      <c r="D15" s="6" t="s">
        <v>30</v>
      </c>
      <c r="E15" s="7">
        <v>10447536600</v>
      </c>
    </row>
    <row r="17" spans="1:6" x14ac:dyDescent="0.25">
      <c r="A17" s="6" t="s">
        <v>33</v>
      </c>
      <c r="D17" t="s">
        <v>44</v>
      </c>
    </row>
    <row r="18" spans="1:6" x14ac:dyDescent="0.25">
      <c r="A18" s="5" t="s">
        <v>31</v>
      </c>
      <c r="B18" s="4" t="s">
        <v>32</v>
      </c>
      <c r="D18" s="5" t="s">
        <v>31</v>
      </c>
      <c r="E18" t="s">
        <v>32</v>
      </c>
      <c r="F18" t="s">
        <v>43</v>
      </c>
    </row>
    <row r="19" spans="1:6" x14ac:dyDescent="0.25">
      <c r="A19" s="6" t="s">
        <v>21</v>
      </c>
      <c r="B19" s="4">
        <v>1622388900</v>
      </c>
      <c r="D19" s="6" t="s">
        <v>21</v>
      </c>
      <c r="E19" s="7">
        <v>1622388900</v>
      </c>
      <c r="F19" s="7">
        <v>88</v>
      </c>
    </row>
    <row r="20" spans="1:6" x14ac:dyDescent="0.25">
      <c r="A20" s="6" t="s">
        <v>22</v>
      </c>
      <c r="B20" s="4">
        <v>1254735500</v>
      </c>
      <c r="D20" s="6" t="s">
        <v>22</v>
      </c>
      <c r="E20" s="7">
        <v>1254735500</v>
      </c>
      <c r="F20" s="7">
        <v>66</v>
      </c>
    </row>
    <row r="21" spans="1:6" x14ac:dyDescent="0.25">
      <c r="A21" s="6" t="s">
        <v>7</v>
      </c>
      <c r="B21" s="4">
        <v>1162177600</v>
      </c>
      <c r="D21" s="6" t="s">
        <v>7</v>
      </c>
      <c r="E21" s="7">
        <v>1162177600</v>
      </c>
      <c r="F21" s="7">
        <v>71</v>
      </c>
    </row>
    <row r="22" spans="1:6" x14ac:dyDescent="0.25">
      <c r="A22" s="6" t="s">
        <v>16</v>
      </c>
      <c r="B22" s="4">
        <v>1144351400</v>
      </c>
      <c r="D22" s="6" t="s">
        <v>16</v>
      </c>
      <c r="E22" s="7">
        <v>1144351400</v>
      </c>
      <c r="F22" s="7">
        <v>78</v>
      </c>
    </row>
    <row r="23" spans="1:6" x14ac:dyDescent="0.25">
      <c r="A23" s="6" t="s">
        <v>15</v>
      </c>
      <c r="B23" s="4">
        <v>1090844300</v>
      </c>
      <c r="D23" s="6" t="s">
        <v>15</v>
      </c>
      <c r="E23" s="7">
        <v>1090844300</v>
      </c>
      <c r="F23" s="7">
        <v>76</v>
      </c>
    </row>
    <row r="24" spans="1:6" x14ac:dyDescent="0.25">
      <c r="A24" s="6" t="s">
        <v>20</v>
      </c>
      <c r="B24" s="4">
        <v>970455400</v>
      </c>
      <c r="D24" s="6" t="s">
        <v>20</v>
      </c>
      <c r="E24" s="7">
        <v>970455400</v>
      </c>
      <c r="F24" s="7">
        <v>56</v>
      </c>
    </row>
    <row r="25" spans="1:6" x14ac:dyDescent="0.25">
      <c r="A25" s="6" t="s">
        <v>11</v>
      </c>
      <c r="B25" s="4">
        <v>885517200</v>
      </c>
      <c r="D25" s="6" t="s">
        <v>11</v>
      </c>
      <c r="E25" s="7">
        <v>885517200</v>
      </c>
      <c r="F25" s="7">
        <v>63</v>
      </c>
    </row>
    <row r="26" spans="1:6" x14ac:dyDescent="0.25">
      <c r="A26" s="6" t="s">
        <v>13</v>
      </c>
      <c r="B26" s="4">
        <v>871416700</v>
      </c>
      <c r="D26" s="6" t="s">
        <v>13</v>
      </c>
      <c r="E26" s="7">
        <v>871416700</v>
      </c>
      <c r="F26" s="7">
        <v>79</v>
      </c>
    </row>
    <row r="27" spans="1:6" x14ac:dyDescent="0.25">
      <c r="A27" s="6" t="s">
        <v>9</v>
      </c>
      <c r="B27" s="4">
        <v>779041300</v>
      </c>
      <c r="D27" s="6" t="s">
        <v>9</v>
      </c>
      <c r="E27" s="7">
        <v>779041300</v>
      </c>
      <c r="F27" s="7">
        <v>63</v>
      </c>
    </row>
    <row r="28" spans="1:6" x14ac:dyDescent="0.25">
      <c r="A28" s="6" t="s">
        <v>18</v>
      </c>
      <c r="B28" s="4">
        <v>666608300</v>
      </c>
      <c r="D28" s="6" t="s">
        <v>18</v>
      </c>
      <c r="E28" s="7">
        <v>666608300</v>
      </c>
      <c r="F28" s="7">
        <v>60</v>
      </c>
    </row>
    <row r="29" spans="1:6" x14ac:dyDescent="0.25">
      <c r="A29" s="6" t="s">
        <v>30</v>
      </c>
      <c r="B29" s="4">
        <v>10447536600</v>
      </c>
      <c r="D29" s="6" t="s">
        <v>30</v>
      </c>
      <c r="E29" s="7">
        <v>10447536600</v>
      </c>
      <c r="F29" s="7">
        <v>700</v>
      </c>
    </row>
    <row r="31" spans="1:6" x14ac:dyDescent="0.25">
      <c r="A31" s="6" t="s">
        <v>35</v>
      </c>
      <c r="D31" s="6" t="s">
        <v>33</v>
      </c>
    </row>
    <row r="32" spans="1:6" x14ac:dyDescent="0.25">
      <c r="A32" s="5" t="s">
        <v>31</v>
      </c>
      <c r="B32" s="4" t="s">
        <v>34</v>
      </c>
      <c r="D32" s="5" t="s">
        <v>31</v>
      </c>
      <c r="E32" s="7" t="s">
        <v>32</v>
      </c>
    </row>
    <row r="33" spans="1:5" x14ac:dyDescent="0.25">
      <c r="A33" s="6" t="s">
        <v>21</v>
      </c>
      <c r="B33" s="1">
        <v>126198</v>
      </c>
      <c r="D33" s="6" t="s">
        <v>21</v>
      </c>
      <c r="E33" s="1">
        <v>1622388900</v>
      </c>
    </row>
    <row r="34" spans="1:5" x14ac:dyDescent="0.25">
      <c r="A34" s="6" t="s">
        <v>13</v>
      </c>
      <c r="B34" s="1">
        <v>115600</v>
      </c>
      <c r="D34" s="6" t="s">
        <v>22</v>
      </c>
      <c r="E34" s="1">
        <v>1254735500</v>
      </c>
    </row>
    <row r="35" spans="1:5" x14ac:dyDescent="0.25">
      <c r="A35" s="6" t="s">
        <v>7</v>
      </c>
      <c r="B35" s="1">
        <v>114930</v>
      </c>
      <c r="D35" s="6" t="s">
        <v>7</v>
      </c>
      <c r="E35" s="1">
        <v>1162177600</v>
      </c>
    </row>
    <row r="36" spans="1:5" x14ac:dyDescent="0.25">
      <c r="A36" s="6" t="s">
        <v>16</v>
      </c>
      <c r="B36" s="1">
        <v>113937</v>
      </c>
      <c r="D36" s="6" t="s">
        <v>16</v>
      </c>
      <c r="E36" s="1">
        <v>1144351400</v>
      </c>
    </row>
    <row r="37" spans="1:5" x14ac:dyDescent="0.25">
      <c r="A37" s="6" t="s">
        <v>15</v>
      </c>
      <c r="B37" s="1">
        <v>109760</v>
      </c>
      <c r="D37" s="6" t="s">
        <v>15</v>
      </c>
      <c r="E37" s="1">
        <v>1090844300</v>
      </c>
    </row>
    <row r="38" spans="1:5" x14ac:dyDescent="0.25">
      <c r="A38" s="6" t="s">
        <v>22</v>
      </c>
      <c r="B38" s="1">
        <v>97367</v>
      </c>
      <c r="D38" s="6" t="s">
        <v>20</v>
      </c>
      <c r="E38" s="1">
        <v>970455400</v>
      </c>
    </row>
    <row r="39" spans="1:5" x14ac:dyDescent="0.25">
      <c r="A39" s="6" t="s">
        <v>9</v>
      </c>
      <c r="B39" s="1">
        <v>86642</v>
      </c>
      <c r="D39" s="6" t="s">
        <v>11</v>
      </c>
      <c r="E39" s="1">
        <v>885517200</v>
      </c>
    </row>
    <row r="40" spans="1:5" x14ac:dyDescent="0.25">
      <c r="A40" s="6" t="s">
        <v>11</v>
      </c>
      <c r="B40" s="1">
        <v>86447</v>
      </c>
      <c r="D40" s="6" t="s">
        <v>13</v>
      </c>
      <c r="E40" s="1">
        <v>871416700</v>
      </c>
    </row>
    <row r="41" spans="1:5" x14ac:dyDescent="0.25">
      <c r="A41" s="6" t="s">
        <v>18</v>
      </c>
      <c r="B41" s="1">
        <v>84685</v>
      </c>
      <c r="D41" s="6" t="s">
        <v>9</v>
      </c>
      <c r="E41" s="1">
        <v>779041300</v>
      </c>
    </row>
    <row r="42" spans="1:5" x14ac:dyDescent="0.25">
      <c r="A42" s="6" t="s">
        <v>20</v>
      </c>
      <c r="B42" s="1">
        <v>82319</v>
      </c>
      <c r="D42" s="6" t="s">
        <v>18</v>
      </c>
      <c r="E42" s="1">
        <v>666608300</v>
      </c>
    </row>
    <row r="43" spans="1:5" x14ac:dyDescent="0.25">
      <c r="A43" s="6" t="s">
        <v>30</v>
      </c>
      <c r="B43" s="1">
        <v>1017885</v>
      </c>
      <c r="D43" s="6" t="s">
        <v>30</v>
      </c>
      <c r="E43" s="7">
        <v>10447536600</v>
      </c>
    </row>
    <row r="45" spans="1:5" x14ac:dyDescent="0.25">
      <c r="A45" s="6" t="s">
        <v>37</v>
      </c>
    </row>
    <row r="46" spans="1:5" x14ac:dyDescent="0.25">
      <c r="A46" s="5" t="s">
        <v>31</v>
      </c>
      <c r="B46" s="4" t="s">
        <v>36</v>
      </c>
    </row>
    <row r="47" spans="1:5" x14ac:dyDescent="0.25">
      <c r="A47" s="6" t="s">
        <v>19</v>
      </c>
      <c r="B47" s="4">
        <v>955836000</v>
      </c>
      <c r="D47" s="5" t="s">
        <v>31</v>
      </c>
      <c r="E47" s="4" t="s">
        <v>36</v>
      </c>
    </row>
    <row r="48" spans="1:5" x14ac:dyDescent="0.25">
      <c r="A48" s="6" t="s">
        <v>17</v>
      </c>
      <c r="B48" s="4">
        <v>604692000</v>
      </c>
      <c r="D48" s="6" t="s">
        <v>19</v>
      </c>
      <c r="E48" s="4">
        <v>955836000</v>
      </c>
    </row>
    <row r="49" spans="1:5" x14ac:dyDescent="0.25">
      <c r="A49" s="6" t="s">
        <v>8</v>
      </c>
      <c r="B49" s="4">
        <v>178723200</v>
      </c>
      <c r="D49" s="6" t="s">
        <v>17</v>
      </c>
      <c r="E49" s="4">
        <v>604692000</v>
      </c>
    </row>
    <row r="50" spans="1:5" x14ac:dyDescent="0.25">
      <c r="A50" s="6" t="s">
        <v>10</v>
      </c>
      <c r="B50" s="4">
        <v>140713200</v>
      </c>
      <c r="D50" s="6" t="s">
        <v>8</v>
      </c>
      <c r="E50" s="4">
        <v>178723200</v>
      </c>
    </row>
    <row r="51" spans="1:5" x14ac:dyDescent="0.25">
      <c r="A51" s="6" t="s">
        <v>23</v>
      </c>
      <c r="B51" s="4">
        <v>111873600</v>
      </c>
      <c r="D51" s="6" t="s">
        <v>10</v>
      </c>
      <c r="E51" s="4">
        <v>140713200</v>
      </c>
    </row>
    <row r="52" spans="1:5" x14ac:dyDescent="0.25">
      <c r="A52" s="6" t="s">
        <v>14</v>
      </c>
      <c r="B52" s="4">
        <v>62143600</v>
      </c>
      <c r="D52" s="6" t="s">
        <v>23</v>
      </c>
      <c r="E52" s="4">
        <v>111873600</v>
      </c>
    </row>
    <row r="53" spans="1:5" x14ac:dyDescent="0.25">
      <c r="A53" s="6" t="s">
        <v>12</v>
      </c>
      <c r="B53" s="4">
        <v>45387650</v>
      </c>
      <c r="D53" s="6" t="s">
        <v>14</v>
      </c>
      <c r="E53" s="4">
        <v>62143600</v>
      </c>
    </row>
    <row r="54" spans="1:5" x14ac:dyDescent="0.25">
      <c r="A54" s="6" t="s">
        <v>30</v>
      </c>
      <c r="B54" s="4">
        <v>2099369250</v>
      </c>
      <c r="D54" s="6" t="s">
        <v>12</v>
      </c>
      <c r="E54" s="4">
        <v>45387650</v>
      </c>
    </row>
    <row r="55" spans="1:5" x14ac:dyDescent="0.25">
      <c r="D55" s="6" t="s">
        <v>30</v>
      </c>
      <c r="E55" s="4">
        <v>2099369250</v>
      </c>
    </row>
    <row r="56" spans="1:5" x14ac:dyDescent="0.25">
      <c r="A56" s="6" t="s">
        <v>38</v>
      </c>
    </row>
    <row r="57" spans="1:5" x14ac:dyDescent="0.25">
      <c r="A57" s="5" t="s">
        <v>31</v>
      </c>
      <c r="B57" s="4" t="s">
        <v>36</v>
      </c>
    </row>
    <row r="58" spans="1:5" x14ac:dyDescent="0.25">
      <c r="A58" s="6" t="s">
        <v>21</v>
      </c>
      <c r="B58" s="4">
        <v>302613800</v>
      </c>
    </row>
    <row r="59" spans="1:5" x14ac:dyDescent="0.25">
      <c r="A59" s="6" t="s">
        <v>7</v>
      </c>
      <c r="B59" s="4">
        <v>237371300</v>
      </c>
    </row>
    <row r="60" spans="1:5" x14ac:dyDescent="0.25">
      <c r="A60" s="6" t="s">
        <v>22</v>
      </c>
      <c r="B60" s="4">
        <v>237119250</v>
      </c>
    </row>
    <row r="61" spans="1:5" x14ac:dyDescent="0.25">
      <c r="A61" s="6" t="s">
        <v>16</v>
      </c>
      <c r="B61" s="4">
        <v>229987650</v>
      </c>
    </row>
    <row r="62" spans="1:5" x14ac:dyDescent="0.25">
      <c r="A62" s="6" t="s">
        <v>15</v>
      </c>
      <c r="B62" s="4">
        <v>225940050</v>
      </c>
    </row>
    <row r="63" spans="1:5" x14ac:dyDescent="0.25">
      <c r="A63" s="6" t="s">
        <v>20</v>
      </c>
      <c r="B63" s="4">
        <v>194985300</v>
      </c>
    </row>
    <row r="64" spans="1:5" x14ac:dyDescent="0.25">
      <c r="A64" s="6" t="s">
        <v>13</v>
      </c>
      <c r="B64" s="4">
        <v>181420300</v>
      </c>
    </row>
    <row r="65" spans="1:3" x14ac:dyDescent="0.25">
      <c r="A65" s="6" t="s">
        <v>11</v>
      </c>
      <c r="B65" s="4">
        <v>177112700</v>
      </c>
    </row>
    <row r="66" spans="1:3" x14ac:dyDescent="0.25">
      <c r="A66" s="6" t="s">
        <v>9</v>
      </c>
      <c r="B66" s="4">
        <v>164997350</v>
      </c>
    </row>
    <row r="67" spans="1:3" x14ac:dyDescent="0.25">
      <c r="A67" s="6" t="s">
        <v>18</v>
      </c>
      <c r="B67" s="4">
        <v>147821550</v>
      </c>
    </row>
    <row r="68" spans="1:3" x14ac:dyDescent="0.25">
      <c r="A68" s="6" t="s">
        <v>30</v>
      </c>
      <c r="B68" s="4">
        <v>2099369250</v>
      </c>
    </row>
    <row r="70" spans="1:3" x14ac:dyDescent="0.25">
      <c r="A70" s="6" t="s">
        <v>40</v>
      </c>
    </row>
    <row r="71" spans="1:3" x14ac:dyDescent="0.25">
      <c r="A71" s="5" t="s">
        <v>31</v>
      </c>
      <c r="B71" s="5" t="s">
        <v>32</v>
      </c>
      <c r="C71" t="s">
        <v>39</v>
      </c>
    </row>
    <row r="72" spans="1:3" x14ac:dyDescent="0.25">
      <c r="A72" s="6" t="s">
        <v>21</v>
      </c>
      <c r="B72" s="4">
        <v>1622388900</v>
      </c>
      <c r="C72" s="4">
        <v>1319775100</v>
      </c>
    </row>
    <row r="73" spans="1:3" x14ac:dyDescent="0.25">
      <c r="A73" s="6" t="s">
        <v>22</v>
      </c>
      <c r="B73" s="4">
        <v>1254735500</v>
      </c>
      <c r="C73" s="4">
        <v>1017616250</v>
      </c>
    </row>
    <row r="74" spans="1:3" x14ac:dyDescent="0.25">
      <c r="A74" s="6" t="s">
        <v>7</v>
      </c>
      <c r="B74" s="4">
        <v>1162177600</v>
      </c>
      <c r="C74" s="4">
        <v>924806300</v>
      </c>
    </row>
    <row r="75" spans="1:3" x14ac:dyDescent="0.25">
      <c r="A75" s="6" t="s">
        <v>16</v>
      </c>
      <c r="B75" s="4">
        <v>1144351400</v>
      </c>
      <c r="C75" s="4">
        <v>914363750</v>
      </c>
    </row>
    <row r="76" spans="1:3" x14ac:dyDescent="0.25">
      <c r="A76" s="6" t="s">
        <v>15</v>
      </c>
      <c r="B76" s="4">
        <v>1090844300</v>
      </c>
      <c r="C76" s="4">
        <v>864904250</v>
      </c>
    </row>
    <row r="77" spans="1:3" x14ac:dyDescent="0.25">
      <c r="A77" s="6" t="s">
        <v>20</v>
      </c>
      <c r="B77" s="4">
        <v>970455400</v>
      </c>
      <c r="C77" s="4">
        <v>775470100</v>
      </c>
    </row>
    <row r="78" spans="1:3" x14ac:dyDescent="0.25">
      <c r="A78" s="6" t="s">
        <v>11</v>
      </c>
      <c r="B78" s="4">
        <v>885517200</v>
      </c>
      <c r="C78" s="4">
        <v>708404500</v>
      </c>
    </row>
    <row r="79" spans="1:3" x14ac:dyDescent="0.25">
      <c r="A79" s="6" t="s">
        <v>13</v>
      </c>
      <c r="B79" s="4">
        <v>871416700</v>
      </c>
      <c r="C79" s="4">
        <v>689996400</v>
      </c>
    </row>
    <row r="80" spans="1:3" x14ac:dyDescent="0.25">
      <c r="A80" s="6" t="s">
        <v>9</v>
      </c>
      <c r="B80" s="4">
        <v>779041300</v>
      </c>
      <c r="C80" s="4">
        <v>614043950</v>
      </c>
    </row>
    <row r="81" spans="1:3" x14ac:dyDescent="0.25">
      <c r="A81" s="6" t="s">
        <v>18</v>
      </c>
      <c r="B81" s="4">
        <v>666608300</v>
      </c>
      <c r="C81" s="4">
        <v>518786750</v>
      </c>
    </row>
    <row r="82" spans="1:3" x14ac:dyDescent="0.25">
      <c r="A82" s="6" t="s">
        <v>30</v>
      </c>
      <c r="B82" s="4">
        <v>10447536600</v>
      </c>
      <c r="C82" s="4">
        <v>8348167350</v>
      </c>
    </row>
    <row r="84" spans="1:3" x14ac:dyDescent="0.25">
      <c r="A84" s="6" t="s">
        <v>41</v>
      </c>
    </row>
    <row r="85" spans="1:3" x14ac:dyDescent="0.25">
      <c r="A85" t="s">
        <v>32</v>
      </c>
      <c r="B85" t="s">
        <v>39</v>
      </c>
      <c r="C85" t="s">
        <v>36</v>
      </c>
    </row>
    <row r="86" spans="1:3" x14ac:dyDescent="0.25">
      <c r="A86" s="4">
        <v>10447536600</v>
      </c>
      <c r="B86" s="4">
        <v>8348167350</v>
      </c>
      <c r="C86" s="4">
        <v>2099369250</v>
      </c>
    </row>
    <row r="98" spans="1:2" x14ac:dyDescent="0.25">
      <c r="A98" s="5" t="s">
        <v>31</v>
      </c>
      <c r="B98" s="7" t="s">
        <v>34</v>
      </c>
    </row>
    <row r="99" spans="1:2" x14ac:dyDescent="0.25">
      <c r="A99" s="6" t="s">
        <v>10</v>
      </c>
      <c r="B99" s="7">
        <v>156348</v>
      </c>
    </row>
    <row r="100" spans="1:2" x14ac:dyDescent="0.25">
      <c r="A100" s="6" t="s">
        <v>14</v>
      </c>
      <c r="B100" s="7">
        <v>155359</v>
      </c>
    </row>
    <row r="101" spans="1:2" x14ac:dyDescent="0.25">
      <c r="A101" s="6" t="s">
        <v>17</v>
      </c>
      <c r="B101" s="7">
        <v>151173</v>
      </c>
    </row>
    <row r="102" spans="1:2" x14ac:dyDescent="0.25">
      <c r="A102" s="6" t="s">
        <v>8</v>
      </c>
      <c r="B102" s="7">
        <v>148936</v>
      </c>
    </row>
    <row r="103" spans="1:2" x14ac:dyDescent="0.25">
      <c r="A103" s="6" t="s">
        <v>23</v>
      </c>
      <c r="B103" s="7">
        <v>139842</v>
      </c>
    </row>
    <row r="104" spans="1:2" x14ac:dyDescent="0.25">
      <c r="A104" s="6" t="s">
        <v>19</v>
      </c>
      <c r="B104" s="7">
        <v>136548</v>
      </c>
    </row>
    <row r="105" spans="1:2" x14ac:dyDescent="0.25">
      <c r="A105" s="6" t="s">
        <v>12</v>
      </c>
      <c r="B105" s="7">
        <v>129679</v>
      </c>
    </row>
    <row r="106" spans="1:2" x14ac:dyDescent="0.25">
      <c r="A106" s="6" t="s">
        <v>30</v>
      </c>
      <c r="B106" s="7">
        <v>1017885</v>
      </c>
    </row>
    <row r="108" spans="1:2" x14ac:dyDescent="0.25">
      <c r="A108" s="6" t="s">
        <v>42</v>
      </c>
    </row>
    <row r="109" spans="1:2" x14ac:dyDescent="0.25">
      <c r="A109" s="5" t="s">
        <v>31</v>
      </c>
      <c r="B109" s="7" t="s">
        <v>32</v>
      </c>
    </row>
    <row r="110" spans="1:2" x14ac:dyDescent="0.25">
      <c r="A110" s="6">
        <v>2025</v>
      </c>
      <c r="B110" s="4">
        <v>3847142200</v>
      </c>
    </row>
    <row r="111" spans="1:2" x14ac:dyDescent="0.25">
      <c r="A111" s="6">
        <v>2026</v>
      </c>
      <c r="B111" s="4">
        <v>3470466600</v>
      </c>
    </row>
    <row r="112" spans="1:2" x14ac:dyDescent="0.25">
      <c r="A112" s="6">
        <v>2024</v>
      </c>
      <c r="B112" s="4">
        <v>3129927800</v>
      </c>
    </row>
    <row r="113" spans="1:2" x14ac:dyDescent="0.25">
      <c r="A113" s="6" t="s">
        <v>30</v>
      </c>
      <c r="B113" s="7">
        <v>10447536600</v>
      </c>
    </row>
    <row r="115" spans="1:2" x14ac:dyDescent="0.25">
      <c r="A115" t="s">
        <v>45</v>
      </c>
      <c r="B115" s="9">
        <v>10447536600</v>
      </c>
    </row>
    <row r="116" spans="1:2" x14ac:dyDescent="0.25">
      <c r="A116" t="s">
        <v>46</v>
      </c>
      <c r="B116" s="9">
        <v>2099369250</v>
      </c>
    </row>
    <row r="117" spans="1:2" x14ac:dyDescent="0.25">
      <c r="A117" t="s">
        <v>47</v>
      </c>
      <c r="B117" s="8">
        <v>1017885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DE6CA-0C4E-44A1-B8E8-4591CCDCDC68}">
  <dimension ref="A1:M701"/>
  <sheetViews>
    <sheetView topLeftCell="A2" workbookViewId="0">
      <selection activeCell="M3" sqref="M3"/>
    </sheetView>
  </sheetViews>
  <sheetFormatPr defaultRowHeight="15" x14ac:dyDescent="0.25"/>
  <cols>
    <col min="1" max="1" width="12.42578125" bestFit="1" customWidth="1"/>
    <col min="2" max="2" width="19.28515625" bestFit="1" customWidth="1"/>
    <col min="3" max="3" width="12.28515625" bestFit="1" customWidth="1"/>
    <col min="4" max="4" width="11.140625" bestFit="1" customWidth="1"/>
    <col min="5" max="5" width="10" bestFit="1" customWidth="1"/>
    <col min="6" max="6" width="9" bestFit="1" customWidth="1"/>
    <col min="7" max="7" width="10.7109375" bestFit="1" customWidth="1"/>
    <col min="8" max="8" width="15.28515625" style="3" bestFit="1" customWidth="1"/>
    <col min="9" max="10" width="15.7109375" style="4" bestFit="1" customWidth="1"/>
    <col min="11" max="11" width="16" bestFit="1" customWidth="1"/>
  </cols>
  <sheetData>
    <row r="1" spans="1:13" x14ac:dyDescent="0.25">
      <c r="A1" t="s">
        <v>0</v>
      </c>
      <c r="B1" t="s">
        <v>1</v>
      </c>
      <c r="C1" t="s">
        <v>2</v>
      </c>
      <c r="D1" t="s">
        <v>3</v>
      </c>
      <c r="E1" t="s">
        <v>4</v>
      </c>
      <c r="F1" t="s">
        <v>5</v>
      </c>
      <c r="G1" t="s">
        <v>6</v>
      </c>
      <c r="H1" s="3" t="s">
        <v>24</v>
      </c>
      <c r="I1" s="4" t="s">
        <v>25</v>
      </c>
      <c r="J1" s="4" t="s">
        <v>26</v>
      </c>
      <c r="K1" t="s">
        <v>27</v>
      </c>
      <c r="L1" t="s">
        <v>28</v>
      </c>
      <c r="M1" t="s">
        <v>29</v>
      </c>
    </row>
    <row r="2" spans="1:13" x14ac:dyDescent="0.25">
      <c r="A2" s="1" t="s">
        <v>21</v>
      </c>
      <c r="B2" s="1" t="s">
        <v>23</v>
      </c>
      <c r="C2">
        <v>455</v>
      </c>
      <c r="D2">
        <v>2275000</v>
      </c>
      <c r="E2">
        <v>1911000</v>
      </c>
      <c r="F2">
        <v>364000</v>
      </c>
      <c r="G2" s="2">
        <v>45310</v>
      </c>
      <c r="H2" s="3">
        <f>SUM(D:D)</f>
        <v>10447536600</v>
      </c>
      <c r="I2" s="4">
        <f>SUM(F:F)</f>
        <v>2099369250</v>
      </c>
      <c r="J2" s="4">
        <f>SUM(E:E)</f>
        <v>8348167350</v>
      </c>
      <c r="K2">
        <f>SUM(C:C)</f>
        <v>1017885</v>
      </c>
      <c r="L2">
        <f>MONTH(G:G)</f>
        <v>1</v>
      </c>
      <c r="M2">
        <f>YEAR(G:G)</f>
        <v>2024</v>
      </c>
    </row>
    <row r="3" spans="1:13" x14ac:dyDescent="0.25">
      <c r="A3" s="1" t="s">
        <v>9</v>
      </c>
      <c r="B3" s="1" t="s">
        <v>17</v>
      </c>
      <c r="C3">
        <v>2963</v>
      </c>
      <c r="D3">
        <v>44445000</v>
      </c>
      <c r="E3">
        <v>32593000</v>
      </c>
      <c r="F3">
        <v>11852000</v>
      </c>
      <c r="G3" s="2">
        <v>45303</v>
      </c>
      <c r="H3" s="3">
        <f>SUM(D:D)</f>
        <v>10447536600</v>
      </c>
      <c r="I3" s="4">
        <f>SUM(F:F)</f>
        <v>2099369250</v>
      </c>
      <c r="J3" s="4">
        <f>SUM(E:E)</f>
        <v>8348167350</v>
      </c>
      <c r="K3">
        <f>SUM(C:C)</f>
        <v>1017885</v>
      </c>
      <c r="L3">
        <f>MONTH(G:G)</f>
        <v>1</v>
      </c>
      <c r="M3">
        <f>YEAR(G:G)</f>
        <v>2024</v>
      </c>
    </row>
    <row r="4" spans="1:13" x14ac:dyDescent="0.25">
      <c r="A4" s="1" t="s">
        <v>11</v>
      </c>
      <c r="B4" s="1" t="s">
        <v>12</v>
      </c>
      <c r="C4">
        <v>1849</v>
      </c>
      <c r="D4">
        <v>2218800</v>
      </c>
      <c r="E4">
        <v>1571650</v>
      </c>
      <c r="F4">
        <v>647150</v>
      </c>
      <c r="G4" s="2">
        <v>45312</v>
      </c>
      <c r="H4" s="3">
        <f>SUM(D:D)</f>
        <v>10447536600</v>
      </c>
      <c r="I4" s="4">
        <f>SUM(F:F)</f>
        <v>2099369250</v>
      </c>
      <c r="J4" s="4">
        <f>SUM(E:E)</f>
        <v>8348167350</v>
      </c>
      <c r="K4">
        <f>SUM(C:C)</f>
        <v>1017885</v>
      </c>
      <c r="L4">
        <f>MONTH(G:G)</f>
        <v>1</v>
      </c>
      <c r="M4">
        <f>YEAR(G:G)</f>
        <v>2024</v>
      </c>
    </row>
    <row r="5" spans="1:13" x14ac:dyDescent="0.25">
      <c r="A5" s="1" t="s">
        <v>16</v>
      </c>
      <c r="B5" s="1" t="s">
        <v>19</v>
      </c>
      <c r="C5">
        <v>186</v>
      </c>
      <c r="D5">
        <v>8370000</v>
      </c>
      <c r="E5">
        <v>7068000</v>
      </c>
      <c r="F5">
        <v>1302000</v>
      </c>
      <c r="G5" s="2">
        <v>45293</v>
      </c>
      <c r="H5" s="3">
        <f>SUM(D:D)</f>
        <v>10447536600</v>
      </c>
      <c r="I5" s="4">
        <f>SUM(F:F)</f>
        <v>2099369250</v>
      </c>
      <c r="J5" s="4">
        <f>SUM(E:E)</f>
        <v>8348167350</v>
      </c>
      <c r="K5">
        <f>SUM(C:C)</f>
        <v>1017885</v>
      </c>
      <c r="L5">
        <f>MONTH(G:G)</f>
        <v>1</v>
      </c>
      <c r="M5">
        <f>YEAR(G:G)</f>
        <v>2024</v>
      </c>
    </row>
    <row r="6" spans="1:13" x14ac:dyDescent="0.25">
      <c r="A6" s="1" t="s">
        <v>21</v>
      </c>
      <c r="B6" s="1" t="s">
        <v>12</v>
      </c>
      <c r="C6">
        <v>1244</v>
      </c>
      <c r="D6">
        <v>1492800</v>
      </c>
      <c r="E6">
        <v>1057400</v>
      </c>
      <c r="F6">
        <v>435400</v>
      </c>
      <c r="G6" s="2">
        <v>45301</v>
      </c>
      <c r="H6" s="3">
        <f>SUM(D:D)</f>
        <v>10447536600</v>
      </c>
      <c r="I6" s="4">
        <f>SUM(F:F)</f>
        <v>2099369250</v>
      </c>
      <c r="J6" s="4">
        <f>SUM(E:E)</f>
        <v>8348167350</v>
      </c>
      <c r="K6">
        <f>SUM(C:C)</f>
        <v>1017885</v>
      </c>
      <c r="L6">
        <f>MONTH(G:G)</f>
        <v>1</v>
      </c>
      <c r="M6">
        <f>YEAR(G:G)</f>
        <v>2024</v>
      </c>
    </row>
    <row r="7" spans="1:13" x14ac:dyDescent="0.25">
      <c r="A7" s="1" t="s">
        <v>20</v>
      </c>
      <c r="B7" s="1" t="s">
        <v>19</v>
      </c>
      <c r="C7">
        <v>1468</v>
      </c>
      <c r="D7">
        <v>66060000</v>
      </c>
      <c r="E7">
        <v>55784000</v>
      </c>
      <c r="F7">
        <v>10276000</v>
      </c>
      <c r="G7" s="2">
        <v>45303</v>
      </c>
      <c r="H7" s="3">
        <f>SUM(D:D)</f>
        <v>10447536600</v>
      </c>
      <c r="I7" s="4">
        <f>SUM(F:F)</f>
        <v>2099369250</v>
      </c>
      <c r="J7" s="4">
        <f>SUM(E:E)</f>
        <v>8348167350</v>
      </c>
      <c r="K7">
        <f>SUM(C:C)</f>
        <v>1017885</v>
      </c>
      <c r="L7">
        <f>MONTH(G:G)</f>
        <v>1</v>
      </c>
      <c r="M7">
        <f>YEAR(G:G)</f>
        <v>2024</v>
      </c>
    </row>
    <row r="8" spans="1:13" x14ac:dyDescent="0.25">
      <c r="A8" s="1" t="s">
        <v>7</v>
      </c>
      <c r="B8" s="1" t="s">
        <v>8</v>
      </c>
      <c r="C8">
        <v>997</v>
      </c>
      <c r="D8">
        <v>2991000</v>
      </c>
      <c r="E8">
        <v>1794600</v>
      </c>
      <c r="F8">
        <v>1196400</v>
      </c>
      <c r="G8" s="2">
        <v>45312</v>
      </c>
      <c r="H8" s="3">
        <f>SUM(D:D)</f>
        <v>10447536600</v>
      </c>
      <c r="I8" s="4">
        <f>SUM(F:F)</f>
        <v>2099369250</v>
      </c>
      <c r="J8" s="4">
        <f>SUM(E:E)</f>
        <v>8348167350</v>
      </c>
      <c r="K8">
        <f>SUM(C:C)</f>
        <v>1017885</v>
      </c>
      <c r="L8">
        <f>MONTH(G:G)</f>
        <v>1</v>
      </c>
      <c r="M8">
        <f>YEAR(G:G)</f>
        <v>2024</v>
      </c>
    </row>
    <row r="9" spans="1:13" x14ac:dyDescent="0.25">
      <c r="A9" s="1" t="s">
        <v>22</v>
      </c>
      <c r="B9" s="1" t="s">
        <v>19</v>
      </c>
      <c r="C9">
        <v>2976</v>
      </c>
      <c r="D9">
        <v>133920000</v>
      </c>
      <c r="E9">
        <v>113088000</v>
      </c>
      <c r="F9">
        <v>20832000</v>
      </c>
      <c r="G9" s="2">
        <v>45308</v>
      </c>
      <c r="H9" s="3">
        <f>SUM(D:D)</f>
        <v>10447536600</v>
      </c>
      <c r="I9" s="4">
        <f>SUM(F:F)</f>
        <v>2099369250</v>
      </c>
      <c r="J9" s="4">
        <f>SUM(E:E)</f>
        <v>8348167350</v>
      </c>
      <c r="K9">
        <f>SUM(C:C)</f>
        <v>1017885</v>
      </c>
      <c r="L9">
        <f>MONTH(G:G)</f>
        <v>1</v>
      </c>
      <c r="M9">
        <f>YEAR(G:G)</f>
        <v>2024</v>
      </c>
    </row>
    <row r="10" spans="1:13" x14ac:dyDescent="0.25">
      <c r="A10" s="1" t="s">
        <v>18</v>
      </c>
      <c r="B10" s="1" t="s">
        <v>19</v>
      </c>
      <c r="C10">
        <v>1503</v>
      </c>
      <c r="D10">
        <v>67635000</v>
      </c>
      <c r="E10">
        <v>57114000</v>
      </c>
      <c r="F10">
        <v>10521000</v>
      </c>
      <c r="G10" s="2">
        <v>45320</v>
      </c>
      <c r="H10" s="3">
        <f>SUM(D:D)</f>
        <v>10447536600</v>
      </c>
      <c r="I10" s="4">
        <f>SUM(F:F)</f>
        <v>2099369250</v>
      </c>
      <c r="J10" s="4">
        <f>SUM(E:E)</f>
        <v>8348167350</v>
      </c>
      <c r="K10">
        <f>SUM(C:C)</f>
        <v>1017885</v>
      </c>
      <c r="L10">
        <f>MONTH(G:G)</f>
        <v>1</v>
      </c>
      <c r="M10">
        <f>YEAR(G:G)</f>
        <v>2024</v>
      </c>
    </row>
    <row r="11" spans="1:13" x14ac:dyDescent="0.25">
      <c r="A11" s="1" t="s">
        <v>20</v>
      </c>
      <c r="B11" s="1" t="s">
        <v>17</v>
      </c>
      <c r="C11">
        <v>967</v>
      </c>
      <c r="D11">
        <v>14505000</v>
      </c>
      <c r="E11">
        <v>10637000</v>
      </c>
      <c r="F11">
        <v>3868000</v>
      </c>
      <c r="G11" s="2">
        <v>45310</v>
      </c>
      <c r="H11" s="3">
        <f>SUM(D:D)</f>
        <v>10447536600</v>
      </c>
      <c r="I11" s="4">
        <f>SUM(F:F)</f>
        <v>2099369250</v>
      </c>
      <c r="J11" s="4">
        <f>SUM(E:E)</f>
        <v>8348167350</v>
      </c>
      <c r="K11">
        <f>SUM(C:C)</f>
        <v>1017885</v>
      </c>
      <c r="L11">
        <f>MONTH(G:G)</f>
        <v>1</v>
      </c>
      <c r="M11">
        <f>YEAR(G:G)</f>
        <v>2024</v>
      </c>
    </row>
    <row r="12" spans="1:13" x14ac:dyDescent="0.25">
      <c r="A12" s="1" t="s">
        <v>11</v>
      </c>
      <c r="B12" s="1" t="s">
        <v>14</v>
      </c>
      <c r="C12">
        <v>2291</v>
      </c>
      <c r="D12">
        <v>2749200</v>
      </c>
      <c r="E12">
        <v>1832800</v>
      </c>
      <c r="F12">
        <v>916400</v>
      </c>
      <c r="G12" s="2">
        <v>45314</v>
      </c>
      <c r="H12" s="3">
        <f>SUM(D:D)</f>
        <v>10447536600</v>
      </c>
      <c r="I12" s="4">
        <f>SUM(F:F)</f>
        <v>2099369250</v>
      </c>
      <c r="J12" s="4">
        <f>SUM(E:E)</f>
        <v>8348167350</v>
      </c>
      <c r="K12">
        <f>SUM(C:C)</f>
        <v>1017885</v>
      </c>
      <c r="L12">
        <f>MONTH(G:G)</f>
        <v>1</v>
      </c>
      <c r="M12">
        <f>YEAR(G:G)</f>
        <v>2024</v>
      </c>
    </row>
    <row r="13" spans="1:13" x14ac:dyDescent="0.25">
      <c r="A13" s="1" t="s">
        <v>20</v>
      </c>
      <c r="B13" s="1" t="s">
        <v>8</v>
      </c>
      <c r="C13">
        <v>1798</v>
      </c>
      <c r="D13">
        <v>5394000</v>
      </c>
      <c r="E13">
        <v>3236400</v>
      </c>
      <c r="F13">
        <v>2157600</v>
      </c>
      <c r="G13" s="2">
        <v>45310</v>
      </c>
      <c r="H13" s="3">
        <f>SUM(D:D)</f>
        <v>10447536600</v>
      </c>
      <c r="I13" s="4">
        <f>SUM(F:F)</f>
        <v>2099369250</v>
      </c>
      <c r="J13" s="4">
        <f>SUM(E:E)</f>
        <v>8348167350</v>
      </c>
      <c r="K13">
        <f>SUM(C:C)</f>
        <v>1017885</v>
      </c>
      <c r="L13">
        <f>MONTH(G:G)</f>
        <v>1</v>
      </c>
      <c r="M13">
        <f>YEAR(G:G)</f>
        <v>2024</v>
      </c>
    </row>
    <row r="14" spans="1:13" x14ac:dyDescent="0.25">
      <c r="A14" s="1" t="s">
        <v>16</v>
      </c>
      <c r="B14" s="1" t="s">
        <v>12</v>
      </c>
      <c r="C14">
        <v>1756</v>
      </c>
      <c r="D14">
        <v>2107200</v>
      </c>
      <c r="E14">
        <v>1492600</v>
      </c>
      <c r="F14">
        <v>614600</v>
      </c>
      <c r="G14" s="2">
        <v>45312</v>
      </c>
      <c r="H14" s="3">
        <f>SUM(D:D)</f>
        <v>10447536600</v>
      </c>
      <c r="I14" s="4">
        <f>SUM(F:F)</f>
        <v>2099369250</v>
      </c>
      <c r="J14" s="4">
        <f>SUM(E:E)</f>
        <v>8348167350</v>
      </c>
      <c r="K14">
        <f>SUM(C:C)</f>
        <v>1017885</v>
      </c>
      <c r="L14">
        <f>MONTH(G:G)</f>
        <v>1</v>
      </c>
      <c r="M14">
        <f>YEAR(G:G)</f>
        <v>2024</v>
      </c>
    </row>
    <row r="15" spans="1:13" x14ac:dyDescent="0.25">
      <c r="A15" s="1" t="s">
        <v>15</v>
      </c>
      <c r="B15" s="1" t="s">
        <v>23</v>
      </c>
      <c r="C15">
        <v>669</v>
      </c>
      <c r="D15">
        <v>3345000</v>
      </c>
      <c r="E15">
        <v>2809800</v>
      </c>
      <c r="F15">
        <v>535200</v>
      </c>
      <c r="G15" s="2">
        <v>45319</v>
      </c>
      <c r="H15" s="3">
        <f>SUM(D:D)</f>
        <v>10447536600</v>
      </c>
      <c r="I15" s="4">
        <f>SUM(F:F)</f>
        <v>2099369250</v>
      </c>
      <c r="J15" s="4">
        <f>SUM(E:E)</f>
        <v>8348167350</v>
      </c>
      <c r="K15">
        <f>SUM(C:C)</f>
        <v>1017885</v>
      </c>
      <c r="L15">
        <f>MONTH(G:G)</f>
        <v>1</v>
      </c>
      <c r="M15">
        <f>YEAR(G:G)</f>
        <v>2024</v>
      </c>
    </row>
    <row r="16" spans="1:13" x14ac:dyDescent="0.25">
      <c r="A16" s="1" t="s">
        <v>18</v>
      </c>
      <c r="B16" s="1" t="s">
        <v>23</v>
      </c>
      <c r="C16">
        <v>2216</v>
      </c>
      <c r="D16">
        <v>11080000</v>
      </c>
      <c r="E16">
        <v>9307200</v>
      </c>
      <c r="F16">
        <v>1772800</v>
      </c>
      <c r="G16" s="2">
        <v>45313</v>
      </c>
      <c r="H16" s="3">
        <f>SUM(D:D)</f>
        <v>10447536600</v>
      </c>
      <c r="I16" s="4">
        <f>SUM(F:F)</f>
        <v>2099369250</v>
      </c>
      <c r="J16" s="4">
        <f>SUM(E:E)</f>
        <v>8348167350</v>
      </c>
      <c r="K16">
        <f>SUM(C:C)</f>
        <v>1017885</v>
      </c>
      <c r="L16">
        <f>MONTH(G:G)</f>
        <v>1</v>
      </c>
      <c r="M16">
        <f>YEAR(G:G)</f>
        <v>2024</v>
      </c>
    </row>
    <row r="17" spans="1:13" x14ac:dyDescent="0.25">
      <c r="A17" s="1" t="s">
        <v>15</v>
      </c>
      <c r="B17" s="1" t="s">
        <v>14</v>
      </c>
      <c r="C17">
        <v>2914</v>
      </c>
      <c r="D17">
        <v>3496800</v>
      </c>
      <c r="E17">
        <v>2331200</v>
      </c>
      <c r="F17">
        <v>1165600</v>
      </c>
      <c r="G17" s="2">
        <v>45334</v>
      </c>
      <c r="H17" s="3">
        <f>SUM(D:D)</f>
        <v>10447536600</v>
      </c>
      <c r="I17" s="4">
        <f>SUM(F:F)</f>
        <v>2099369250</v>
      </c>
      <c r="J17" s="4">
        <f>SUM(E:E)</f>
        <v>8348167350</v>
      </c>
      <c r="K17">
        <f>SUM(C:C)</f>
        <v>1017885</v>
      </c>
      <c r="L17">
        <f>MONTH(G:G)</f>
        <v>2</v>
      </c>
      <c r="M17">
        <f>YEAR(G:G)</f>
        <v>2024</v>
      </c>
    </row>
    <row r="18" spans="1:13" x14ac:dyDescent="0.25">
      <c r="A18" s="1" t="s">
        <v>15</v>
      </c>
      <c r="B18" s="1" t="s">
        <v>19</v>
      </c>
      <c r="C18">
        <v>1162</v>
      </c>
      <c r="D18">
        <v>52290000</v>
      </c>
      <c r="E18">
        <v>44156000</v>
      </c>
      <c r="F18">
        <v>8134000</v>
      </c>
      <c r="G18" s="2">
        <v>45342</v>
      </c>
      <c r="H18" s="3">
        <f>SUM(D:D)</f>
        <v>10447536600</v>
      </c>
      <c r="I18" s="4">
        <f>SUM(F:F)</f>
        <v>2099369250</v>
      </c>
      <c r="J18" s="4">
        <f>SUM(E:E)</f>
        <v>8348167350</v>
      </c>
      <c r="K18">
        <f>SUM(C:C)</f>
        <v>1017885</v>
      </c>
      <c r="L18">
        <f>MONTH(G:G)</f>
        <v>2</v>
      </c>
      <c r="M18">
        <f>YEAR(G:G)</f>
        <v>2024</v>
      </c>
    </row>
    <row r="19" spans="1:13" x14ac:dyDescent="0.25">
      <c r="A19" s="1" t="s">
        <v>7</v>
      </c>
      <c r="B19" s="1" t="s">
        <v>23</v>
      </c>
      <c r="C19">
        <v>664</v>
      </c>
      <c r="D19">
        <v>3320000</v>
      </c>
      <c r="E19">
        <v>2788800</v>
      </c>
      <c r="F19">
        <v>531200</v>
      </c>
      <c r="G19" s="2">
        <v>45327</v>
      </c>
      <c r="H19" s="3">
        <f>SUM(D:D)</f>
        <v>10447536600</v>
      </c>
      <c r="I19" s="4">
        <f>SUM(F:F)</f>
        <v>2099369250</v>
      </c>
      <c r="J19" s="4">
        <f>SUM(E:E)</f>
        <v>8348167350</v>
      </c>
      <c r="K19">
        <f>SUM(C:C)</f>
        <v>1017885</v>
      </c>
      <c r="L19">
        <f>MONTH(G:G)</f>
        <v>2</v>
      </c>
      <c r="M19">
        <f>YEAR(G:G)</f>
        <v>2024</v>
      </c>
    </row>
    <row r="20" spans="1:13" x14ac:dyDescent="0.25">
      <c r="A20" s="1" t="s">
        <v>22</v>
      </c>
      <c r="B20" s="1" t="s">
        <v>8</v>
      </c>
      <c r="C20">
        <v>542</v>
      </c>
      <c r="D20">
        <v>1626000</v>
      </c>
      <c r="E20">
        <v>975600</v>
      </c>
      <c r="F20">
        <v>650400</v>
      </c>
      <c r="G20" s="2">
        <v>45341</v>
      </c>
      <c r="H20" s="3">
        <f>SUM(D:D)</f>
        <v>10447536600</v>
      </c>
      <c r="I20" s="4">
        <f>SUM(F:F)</f>
        <v>2099369250</v>
      </c>
      <c r="J20" s="4">
        <f>SUM(E:E)</f>
        <v>8348167350</v>
      </c>
      <c r="K20">
        <f>SUM(C:C)</f>
        <v>1017885</v>
      </c>
      <c r="L20">
        <f>MONTH(G:G)</f>
        <v>2</v>
      </c>
      <c r="M20">
        <f>YEAR(G:G)</f>
        <v>2024</v>
      </c>
    </row>
    <row r="21" spans="1:13" x14ac:dyDescent="0.25">
      <c r="A21" s="1" t="s">
        <v>13</v>
      </c>
      <c r="B21" s="1" t="s">
        <v>19</v>
      </c>
      <c r="C21">
        <v>2421</v>
      </c>
      <c r="D21">
        <v>108945000</v>
      </c>
      <c r="E21">
        <v>91998000</v>
      </c>
      <c r="F21">
        <v>16947000</v>
      </c>
      <c r="G21" s="2">
        <v>45327</v>
      </c>
      <c r="H21" s="3">
        <f>SUM(D:D)</f>
        <v>10447536600</v>
      </c>
      <c r="I21" s="4">
        <f>SUM(F:F)</f>
        <v>2099369250</v>
      </c>
      <c r="J21" s="4">
        <f>SUM(E:E)</f>
        <v>8348167350</v>
      </c>
      <c r="K21">
        <f>SUM(C:C)</f>
        <v>1017885</v>
      </c>
      <c r="L21">
        <f>MONTH(G:G)</f>
        <v>2</v>
      </c>
      <c r="M21">
        <f>YEAR(G:G)</f>
        <v>2024</v>
      </c>
    </row>
    <row r="22" spans="1:13" x14ac:dyDescent="0.25">
      <c r="A22" s="1" t="s">
        <v>21</v>
      </c>
      <c r="B22" s="1" t="s">
        <v>17</v>
      </c>
      <c r="C22">
        <v>60</v>
      </c>
      <c r="D22">
        <v>900000</v>
      </c>
      <c r="E22">
        <v>660000</v>
      </c>
      <c r="F22">
        <v>240000</v>
      </c>
      <c r="G22" s="2">
        <v>45349</v>
      </c>
      <c r="H22" s="3">
        <f>SUM(D:D)</f>
        <v>10447536600</v>
      </c>
      <c r="I22" s="4">
        <f>SUM(F:F)</f>
        <v>2099369250</v>
      </c>
      <c r="J22" s="4">
        <f>SUM(E:E)</f>
        <v>8348167350</v>
      </c>
      <c r="K22">
        <f>SUM(C:C)</f>
        <v>1017885</v>
      </c>
      <c r="L22">
        <f>MONTH(G:G)</f>
        <v>2</v>
      </c>
      <c r="M22">
        <f>YEAR(G:G)</f>
        <v>2024</v>
      </c>
    </row>
    <row r="23" spans="1:13" x14ac:dyDescent="0.25">
      <c r="A23" s="1" t="s">
        <v>11</v>
      </c>
      <c r="B23" s="1" t="s">
        <v>10</v>
      </c>
      <c r="C23">
        <v>2356</v>
      </c>
      <c r="D23">
        <v>8246000</v>
      </c>
      <c r="E23">
        <v>6125600</v>
      </c>
      <c r="F23">
        <v>2120400</v>
      </c>
      <c r="G23" s="2">
        <v>45346</v>
      </c>
      <c r="H23" s="3">
        <f>SUM(D:D)</f>
        <v>10447536600</v>
      </c>
      <c r="I23" s="4">
        <f>SUM(F:F)</f>
        <v>2099369250</v>
      </c>
      <c r="J23" s="4">
        <f>SUM(E:E)</f>
        <v>8348167350</v>
      </c>
      <c r="K23">
        <f>SUM(C:C)</f>
        <v>1017885</v>
      </c>
      <c r="L23">
        <f>MONTH(G:G)</f>
        <v>2</v>
      </c>
      <c r="M23">
        <f>YEAR(G:G)</f>
        <v>2024</v>
      </c>
    </row>
    <row r="24" spans="1:13" x14ac:dyDescent="0.25">
      <c r="A24" s="1" t="s">
        <v>13</v>
      </c>
      <c r="B24" s="1" t="s">
        <v>19</v>
      </c>
      <c r="C24">
        <v>1033</v>
      </c>
      <c r="D24">
        <v>46485000</v>
      </c>
      <c r="E24">
        <v>39254000</v>
      </c>
      <c r="F24">
        <v>7231000</v>
      </c>
      <c r="G24" s="2">
        <v>45333</v>
      </c>
      <c r="H24" s="3">
        <f>SUM(D:D)</f>
        <v>10447536600</v>
      </c>
      <c r="I24" s="4">
        <f>SUM(F:F)</f>
        <v>2099369250</v>
      </c>
      <c r="J24" s="4">
        <f>SUM(E:E)</f>
        <v>8348167350</v>
      </c>
      <c r="K24">
        <f>SUM(C:C)</f>
        <v>1017885</v>
      </c>
      <c r="L24">
        <f>MONTH(G:G)</f>
        <v>2</v>
      </c>
      <c r="M24">
        <f>YEAR(G:G)</f>
        <v>2024</v>
      </c>
    </row>
    <row r="25" spans="1:13" x14ac:dyDescent="0.25">
      <c r="A25" s="1" t="s">
        <v>21</v>
      </c>
      <c r="B25" s="1" t="s">
        <v>10</v>
      </c>
      <c r="C25">
        <v>240</v>
      </c>
      <c r="D25">
        <v>840000</v>
      </c>
      <c r="E25">
        <v>624000</v>
      </c>
      <c r="F25">
        <v>216000</v>
      </c>
      <c r="G25" s="2">
        <v>45334</v>
      </c>
      <c r="H25" s="3">
        <f>SUM(D:D)</f>
        <v>10447536600</v>
      </c>
      <c r="I25" s="4">
        <f>SUM(F:F)</f>
        <v>2099369250</v>
      </c>
      <c r="J25" s="4">
        <f>SUM(E:E)</f>
        <v>8348167350</v>
      </c>
      <c r="K25">
        <f>SUM(C:C)</f>
        <v>1017885</v>
      </c>
      <c r="L25">
        <f>MONTH(G:G)</f>
        <v>2</v>
      </c>
      <c r="M25">
        <f>YEAR(G:G)</f>
        <v>2024</v>
      </c>
    </row>
    <row r="26" spans="1:13" x14ac:dyDescent="0.25">
      <c r="A26" s="1" t="s">
        <v>16</v>
      </c>
      <c r="B26" s="1" t="s">
        <v>12</v>
      </c>
      <c r="C26">
        <v>1460</v>
      </c>
      <c r="D26">
        <v>1752000</v>
      </c>
      <c r="E26">
        <v>1241000</v>
      </c>
      <c r="F26">
        <v>511000</v>
      </c>
      <c r="G26" s="2">
        <v>45334</v>
      </c>
      <c r="H26" s="3">
        <f>SUM(D:D)</f>
        <v>10447536600</v>
      </c>
      <c r="I26" s="4">
        <f>SUM(F:F)</f>
        <v>2099369250</v>
      </c>
      <c r="J26" s="4">
        <f>SUM(E:E)</f>
        <v>8348167350</v>
      </c>
      <c r="K26">
        <f>SUM(C:C)</f>
        <v>1017885</v>
      </c>
      <c r="L26">
        <f>MONTH(G:G)</f>
        <v>2</v>
      </c>
      <c r="M26">
        <f>YEAR(G:G)</f>
        <v>2024</v>
      </c>
    </row>
    <row r="27" spans="1:13" x14ac:dyDescent="0.25">
      <c r="A27" s="1" t="s">
        <v>20</v>
      </c>
      <c r="B27" s="1" t="s">
        <v>14</v>
      </c>
      <c r="C27">
        <v>1617</v>
      </c>
      <c r="D27">
        <v>1940400</v>
      </c>
      <c r="E27">
        <v>1293600</v>
      </c>
      <c r="F27">
        <v>646800</v>
      </c>
      <c r="G27" s="2">
        <v>45330</v>
      </c>
      <c r="H27" s="3">
        <f>SUM(D:D)</f>
        <v>10447536600</v>
      </c>
      <c r="I27" s="4">
        <f>SUM(F:F)</f>
        <v>2099369250</v>
      </c>
      <c r="J27" s="4">
        <f>SUM(E:E)</f>
        <v>8348167350</v>
      </c>
      <c r="K27">
        <f>SUM(C:C)</f>
        <v>1017885</v>
      </c>
      <c r="L27">
        <f>MONTH(G:G)</f>
        <v>2</v>
      </c>
      <c r="M27">
        <f>YEAR(G:G)</f>
        <v>2024</v>
      </c>
    </row>
    <row r="28" spans="1:13" x14ac:dyDescent="0.25">
      <c r="A28" s="1" t="s">
        <v>16</v>
      </c>
      <c r="B28" s="1" t="s">
        <v>17</v>
      </c>
      <c r="C28">
        <v>2184</v>
      </c>
      <c r="D28">
        <v>32760000</v>
      </c>
      <c r="E28">
        <v>24024000</v>
      </c>
      <c r="F28">
        <v>8736000</v>
      </c>
      <c r="G28" s="2">
        <v>45329</v>
      </c>
      <c r="H28" s="3">
        <f>SUM(D:D)</f>
        <v>10447536600</v>
      </c>
      <c r="I28" s="4">
        <f>SUM(F:F)</f>
        <v>2099369250</v>
      </c>
      <c r="J28" s="4">
        <f>SUM(E:E)</f>
        <v>8348167350</v>
      </c>
      <c r="K28">
        <f>SUM(C:C)</f>
        <v>1017885</v>
      </c>
      <c r="L28">
        <f>MONTH(G:G)</f>
        <v>2</v>
      </c>
      <c r="M28">
        <f>YEAR(G:G)</f>
        <v>2024</v>
      </c>
    </row>
    <row r="29" spans="1:13" x14ac:dyDescent="0.25">
      <c r="A29" s="1" t="s">
        <v>15</v>
      </c>
      <c r="B29" s="1" t="s">
        <v>14</v>
      </c>
      <c r="C29">
        <v>84</v>
      </c>
      <c r="D29">
        <v>100800</v>
      </c>
      <c r="E29">
        <v>67200</v>
      </c>
      <c r="F29">
        <v>33600</v>
      </c>
      <c r="G29" s="2">
        <v>45351</v>
      </c>
      <c r="H29" s="3">
        <f>SUM(D:D)</f>
        <v>10447536600</v>
      </c>
      <c r="I29" s="4">
        <f>SUM(F:F)</f>
        <v>2099369250</v>
      </c>
      <c r="J29" s="4">
        <f>SUM(E:E)</f>
        <v>8348167350</v>
      </c>
      <c r="K29">
        <f>SUM(C:C)</f>
        <v>1017885</v>
      </c>
      <c r="L29">
        <f>MONTH(G:G)</f>
        <v>2</v>
      </c>
      <c r="M29">
        <f>YEAR(G:G)</f>
        <v>2024</v>
      </c>
    </row>
    <row r="30" spans="1:13" x14ac:dyDescent="0.25">
      <c r="A30" s="1" t="s">
        <v>11</v>
      </c>
      <c r="B30" s="1" t="s">
        <v>23</v>
      </c>
      <c r="C30">
        <v>235</v>
      </c>
      <c r="D30">
        <v>1175000</v>
      </c>
      <c r="E30">
        <v>987000</v>
      </c>
      <c r="F30">
        <v>188000</v>
      </c>
      <c r="G30" s="2">
        <v>45341</v>
      </c>
      <c r="H30" s="3">
        <f>SUM(D:D)</f>
        <v>10447536600</v>
      </c>
      <c r="I30" s="4">
        <f>SUM(F:F)</f>
        <v>2099369250</v>
      </c>
      <c r="J30" s="4">
        <f>SUM(E:E)</f>
        <v>8348167350</v>
      </c>
      <c r="K30">
        <f>SUM(C:C)</f>
        <v>1017885</v>
      </c>
      <c r="L30">
        <f>MONTH(G:G)</f>
        <v>2</v>
      </c>
      <c r="M30">
        <f>YEAR(G:G)</f>
        <v>2024</v>
      </c>
    </row>
    <row r="31" spans="1:13" x14ac:dyDescent="0.25">
      <c r="A31" s="1" t="s">
        <v>21</v>
      </c>
      <c r="B31" s="1" t="s">
        <v>10</v>
      </c>
      <c r="C31">
        <v>2849</v>
      </c>
      <c r="D31">
        <v>9971500</v>
      </c>
      <c r="E31">
        <v>7407400</v>
      </c>
      <c r="F31">
        <v>2564100</v>
      </c>
      <c r="G31" s="2">
        <v>45340</v>
      </c>
      <c r="H31" s="3">
        <f>SUM(D:D)</f>
        <v>10447536600</v>
      </c>
      <c r="I31" s="4">
        <f>SUM(F:F)</f>
        <v>2099369250</v>
      </c>
      <c r="J31" s="4">
        <f>SUM(E:E)</f>
        <v>8348167350</v>
      </c>
      <c r="K31">
        <f>SUM(C:C)</f>
        <v>1017885</v>
      </c>
      <c r="L31">
        <f>MONTH(G:G)</f>
        <v>2</v>
      </c>
      <c r="M31">
        <f>YEAR(G:G)</f>
        <v>2024</v>
      </c>
    </row>
    <row r="32" spans="1:13" x14ac:dyDescent="0.25">
      <c r="A32" s="1" t="s">
        <v>18</v>
      </c>
      <c r="B32" s="1" t="s">
        <v>8</v>
      </c>
      <c r="C32">
        <v>1006</v>
      </c>
      <c r="D32">
        <v>3018000</v>
      </c>
      <c r="E32">
        <v>1810800</v>
      </c>
      <c r="F32">
        <v>1207200</v>
      </c>
      <c r="G32" s="2">
        <v>45334</v>
      </c>
      <c r="H32" s="3">
        <f>SUM(D:D)</f>
        <v>10447536600</v>
      </c>
      <c r="I32" s="4">
        <f>SUM(F:F)</f>
        <v>2099369250</v>
      </c>
      <c r="J32" s="4">
        <f>SUM(E:E)</f>
        <v>8348167350</v>
      </c>
      <c r="K32">
        <f>SUM(C:C)</f>
        <v>1017885</v>
      </c>
      <c r="L32">
        <f>MONTH(G:G)</f>
        <v>2</v>
      </c>
      <c r="M32">
        <f>YEAR(G:G)</f>
        <v>2024</v>
      </c>
    </row>
    <row r="33" spans="1:13" x14ac:dyDescent="0.25">
      <c r="A33" s="1" t="s">
        <v>21</v>
      </c>
      <c r="B33" s="1" t="s">
        <v>19</v>
      </c>
      <c r="C33">
        <v>2339</v>
      </c>
      <c r="D33">
        <v>105255000</v>
      </c>
      <c r="E33">
        <v>88882000</v>
      </c>
      <c r="F33">
        <v>16373000</v>
      </c>
      <c r="G33" s="2">
        <v>45323</v>
      </c>
      <c r="H33" s="3">
        <f>SUM(D:D)</f>
        <v>10447536600</v>
      </c>
      <c r="I33" s="4">
        <f>SUM(F:F)</f>
        <v>2099369250</v>
      </c>
      <c r="J33" s="4">
        <f>SUM(E:E)</f>
        <v>8348167350</v>
      </c>
      <c r="K33">
        <f>SUM(C:C)</f>
        <v>1017885</v>
      </c>
      <c r="L33">
        <f>MONTH(G:G)</f>
        <v>2</v>
      </c>
      <c r="M33">
        <f>YEAR(G:G)</f>
        <v>2024</v>
      </c>
    </row>
    <row r="34" spans="1:13" x14ac:dyDescent="0.25">
      <c r="A34" s="1" t="s">
        <v>16</v>
      </c>
      <c r="B34" s="1" t="s">
        <v>12</v>
      </c>
      <c r="C34">
        <v>2843</v>
      </c>
      <c r="D34">
        <v>3411600</v>
      </c>
      <c r="E34">
        <v>2416550</v>
      </c>
      <c r="F34">
        <v>995050</v>
      </c>
      <c r="G34" s="2">
        <v>45349</v>
      </c>
      <c r="H34" s="3">
        <f>SUM(D:D)</f>
        <v>10447536600</v>
      </c>
      <c r="I34" s="4">
        <f>SUM(F:F)</f>
        <v>2099369250</v>
      </c>
      <c r="J34" s="4">
        <f>SUM(E:E)</f>
        <v>8348167350</v>
      </c>
      <c r="K34">
        <f>SUM(C:C)</f>
        <v>1017885</v>
      </c>
      <c r="L34">
        <f>MONTH(G:G)</f>
        <v>2</v>
      </c>
      <c r="M34">
        <f>YEAR(G:G)</f>
        <v>2024</v>
      </c>
    </row>
    <row r="35" spans="1:13" x14ac:dyDescent="0.25">
      <c r="A35" s="1" t="s">
        <v>7</v>
      </c>
      <c r="B35" s="1" t="s">
        <v>8</v>
      </c>
      <c r="C35">
        <v>2731</v>
      </c>
      <c r="D35">
        <v>8193000</v>
      </c>
      <c r="E35">
        <v>4915800</v>
      </c>
      <c r="F35">
        <v>3277200</v>
      </c>
      <c r="G35" s="2">
        <v>45377</v>
      </c>
      <c r="H35" s="3">
        <f>SUM(D:D)</f>
        <v>10447536600</v>
      </c>
      <c r="I35" s="4">
        <f>SUM(F:F)</f>
        <v>2099369250</v>
      </c>
      <c r="J35" s="4">
        <f>SUM(E:E)</f>
        <v>8348167350</v>
      </c>
      <c r="K35">
        <f>SUM(C:C)</f>
        <v>1017885</v>
      </c>
      <c r="L35">
        <f>MONTH(G:G)</f>
        <v>3</v>
      </c>
      <c r="M35">
        <f>YEAR(G:G)</f>
        <v>2024</v>
      </c>
    </row>
    <row r="36" spans="1:13" x14ac:dyDescent="0.25">
      <c r="A36" s="1" t="s">
        <v>11</v>
      </c>
      <c r="B36" s="1" t="s">
        <v>8</v>
      </c>
      <c r="C36">
        <v>180</v>
      </c>
      <c r="D36">
        <v>540000</v>
      </c>
      <c r="E36">
        <v>324000</v>
      </c>
      <c r="F36">
        <v>216000</v>
      </c>
      <c r="G36" s="2">
        <v>45376</v>
      </c>
      <c r="H36" s="3">
        <f>SUM(D:D)</f>
        <v>10447536600</v>
      </c>
      <c r="I36" s="4">
        <f>SUM(F:F)</f>
        <v>2099369250</v>
      </c>
      <c r="J36" s="4">
        <f>SUM(E:E)</f>
        <v>8348167350</v>
      </c>
      <c r="K36">
        <f>SUM(C:C)</f>
        <v>1017885</v>
      </c>
      <c r="L36">
        <f>MONTH(G:G)</f>
        <v>3</v>
      </c>
      <c r="M36">
        <f>YEAR(G:G)</f>
        <v>2024</v>
      </c>
    </row>
    <row r="37" spans="1:13" x14ac:dyDescent="0.25">
      <c r="A37" s="1" t="s">
        <v>13</v>
      </c>
      <c r="B37" s="1" t="s">
        <v>10</v>
      </c>
      <c r="C37">
        <v>1571</v>
      </c>
      <c r="D37">
        <v>5498500</v>
      </c>
      <c r="E37">
        <v>4084600</v>
      </c>
      <c r="F37">
        <v>1413900</v>
      </c>
      <c r="G37" s="2">
        <v>45381</v>
      </c>
      <c r="H37" s="3">
        <f>SUM(D:D)</f>
        <v>10447536600</v>
      </c>
      <c r="I37" s="4">
        <f>SUM(F:F)</f>
        <v>2099369250</v>
      </c>
      <c r="J37" s="4">
        <f>SUM(E:E)</f>
        <v>8348167350</v>
      </c>
      <c r="K37">
        <f>SUM(C:C)</f>
        <v>1017885</v>
      </c>
      <c r="L37">
        <f>MONTH(G:G)</f>
        <v>3</v>
      </c>
      <c r="M37">
        <f>YEAR(G:G)</f>
        <v>2024</v>
      </c>
    </row>
    <row r="38" spans="1:13" x14ac:dyDescent="0.25">
      <c r="A38" s="1" t="s">
        <v>15</v>
      </c>
      <c r="B38" s="1" t="s">
        <v>8</v>
      </c>
      <c r="C38">
        <v>342</v>
      </c>
      <c r="D38">
        <v>1026000</v>
      </c>
      <c r="E38">
        <v>615600</v>
      </c>
      <c r="F38">
        <v>410400</v>
      </c>
      <c r="G38" s="2">
        <v>45364</v>
      </c>
      <c r="H38" s="3">
        <f>SUM(D:D)</f>
        <v>10447536600</v>
      </c>
      <c r="I38" s="4">
        <f>SUM(F:F)</f>
        <v>2099369250</v>
      </c>
      <c r="J38" s="4">
        <f>SUM(E:E)</f>
        <v>8348167350</v>
      </c>
      <c r="K38">
        <f>SUM(C:C)</f>
        <v>1017885</v>
      </c>
      <c r="L38">
        <f>MONTH(G:G)</f>
        <v>3</v>
      </c>
      <c r="M38">
        <f>YEAR(G:G)</f>
        <v>2024</v>
      </c>
    </row>
    <row r="39" spans="1:13" x14ac:dyDescent="0.25">
      <c r="A39" s="1" t="s">
        <v>13</v>
      </c>
      <c r="B39" s="1" t="s">
        <v>14</v>
      </c>
      <c r="C39">
        <v>856</v>
      </c>
      <c r="D39">
        <v>1027200</v>
      </c>
      <c r="E39">
        <v>684800</v>
      </c>
      <c r="F39">
        <v>342400</v>
      </c>
      <c r="G39" s="2">
        <v>45358</v>
      </c>
      <c r="H39" s="3">
        <f>SUM(D:D)</f>
        <v>10447536600</v>
      </c>
      <c r="I39" s="4">
        <f>SUM(F:F)</f>
        <v>2099369250</v>
      </c>
      <c r="J39" s="4">
        <f>SUM(E:E)</f>
        <v>8348167350</v>
      </c>
      <c r="K39">
        <f>SUM(C:C)</f>
        <v>1017885</v>
      </c>
      <c r="L39">
        <f>MONTH(G:G)</f>
        <v>3</v>
      </c>
      <c r="M39">
        <f>YEAR(G:G)</f>
        <v>2024</v>
      </c>
    </row>
    <row r="40" spans="1:13" x14ac:dyDescent="0.25">
      <c r="A40" s="1" t="s">
        <v>16</v>
      </c>
      <c r="B40" s="1" t="s">
        <v>23</v>
      </c>
      <c r="C40">
        <v>963</v>
      </c>
      <c r="D40">
        <v>4815000</v>
      </c>
      <c r="E40">
        <v>4044600</v>
      </c>
      <c r="F40">
        <v>770400</v>
      </c>
      <c r="G40" s="2">
        <v>45364</v>
      </c>
      <c r="H40" s="3">
        <f>SUM(D:D)</f>
        <v>10447536600</v>
      </c>
      <c r="I40" s="4">
        <f>SUM(F:F)</f>
        <v>2099369250</v>
      </c>
      <c r="J40" s="4">
        <f>SUM(E:E)</f>
        <v>8348167350</v>
      </c>
      <c r="K40">
        <f>SUM(C:C)</f>
        <v>1017885</v>
      </c>
      <c r="L40">
        <f>MONTH(G:G)</f>
        <v>3</v>
      </c>
      <c r="M40">
        <f>YEAR(G:G)</f>
        <v>2024</v>
      </c>
    </row>
    <row r="41" spans="1:13" x14ac:dyDescent="0.25">
      <c r="A41" s="1" t="s">
        <v>16</v>
      </c>
      <c r="B41" s="1" t="s">
        <v>23</v>
      </c>
      <c r="C41">
        <v>2453</v>
      </c>
      <c r="D41">
        <v>12265000</v>
      </c>
      <c r="E41">
        <v>10302600</v>
      </c>
      <c r="F41">
        <v>1962400</v>
      </c>
      <c r="G41" s="2">
        <v>45374</v>
      </c>
      <c r="H41" s="3">
        <f>SUM(D:D)</f>
        <v>10447536600</v>
      </c>
      <c r="I41" s="4">
        <f>SUM(F:F)</f>
        <v>2099369250</v>
      </c>
      <c r="J41" s="4">
        <f>SUM(E:E)</f>
        <v>8348167350</v>
      </c>
      <c r="K41">
        <f>SUM(C:C)</f>
        <v>1017885</v>
      </c>
      <c r="L41">
        <f>MONTH(G:G)</f>
        <v>3</v>
      </c>
      <c r="M41">
        <f>YEAR(G:G)</f>
        <v>2024</v>
      </c>
    </row>
    <row r="42" spans="1:13" x14ac:dyDescent="0.25">
      <c r="A42" s="1" t="s">
        <v>15</v>
      </c>
      <c r="B42" s="1" t="s">
        <v>19</v>
      </c>
      <c r="C42">
        <v>1038</v>
      </c>
      <c r="D42">
        <v>46710000</v>
      </c>
      <c r="E42">
        <v>39444000</v>
      </c>
      <c r="F42">
        <v>7266000</v>
      </c>
      <c r="G42" s="2">
        <v>45356</v>
      </c>
      <c r="H42" s="3">
        <f>SUM(D:D)</f>
        <v>10447536600</v>
      </c>
      <c r="I42" s="4">
        <f>SUM(F:F)</f>
        <v>2099369250</v>
      </c>
      <c r="J42" s="4">
        <f>SUM(E:E)</f>
        <v>8348167350</v>
      </c>
      <c r="K42">
        <f>SUM(C:C)</f>
        <v>1017885</v>
      </c>
      <c r="L42">
        <f>MONTH(G:G)</f>
        <v>3</v>
      </c>
      <c r="M42">
        <f>YEAR(G:G)</f>
        <v>2024</v>
      </c>
    </row>
    <row r="43" spans="1:13" x14ac:dyDescent="0.25">
      <c r="A43" s="1" t="s">
        <v>9</v>
      </c>
      <c r="B43" s="1" t="s">
        <v>23</v>
      </c>
      <c r="C43">
        <v>1760</v>
      </c>
      <c r="D43">
        <v>8800000</v>
      </c>
      <c r="E43">
        <v>7392000</v>
      </c>
      <c r="F43">
        <v>1408000</v>
      </c>
      <c r="G43" s="2">
        <v>45370</v>
      </c>
      <c r="H43" s="3">
        <f>SUM(D:D)</f>
        <v>10447536600</v>
      </c>
      <c r="I43" s="4">
        <f>SUM(F:F)</f>
        <v>2099369250</v>
      </c>
      <c r="J43" s="4">
        <f>SUM(E:E)</f>
        <v>8348167350</v>
      </c>
      <c r="K43">
        <f>SUM(C:C)</f>
        <v>1017885</v>
      </c>
      <c r="L43">
        <f>MONTH(G:G)</f>
        <v>3</v>
      </c>
      <c r="M43">
        <f>YEAR(G:G)</f>
        <v>2024</v>
      </c>
    </row>
    <row r="44" spans="1:13" x14ac:dyDescent="0.25">
      <c r="A44" s="1" t="s">
        <v>20</v>
      </c>
      <c r="B44" s="1" t="s">
        <v>23</v>
      </c>
      <c r="C44">
        <v>2400</v>
      </c>
      <c r="D44">
        <v>12000000</v>
      </c>
      <c r="E44">
        <v>10080000</v>
      </c>
      <c r="F44">
        <v>1920000</v>
      </c>
      <c r="G44" s="2">
        <v>45378</v>
      </c>
      <c r="H44" s="3">
        <f>SUM(D:D)</f>
        <v>10447536600</v>
      </c>
      <c r="I44" s="4">
        <f>SUM(F:F)</f>
        <v>2099369250</v>
      </c>
      <c r="J44" s="4">
        <f>SUM(E:E)</f>
        <v>8348167350</v>
      </c>
      <c r="K44">
        <f>SUM(C:C)</f>
        <v>1017885</v>
      </c>
      <c r="L44">
        <f>MONTH(G:G)</f>
        <v>3</v>
      </c>
      <c r="M44">
        <f>YEAR(G:G)</f>
        <v>2024</v>
      </c>
    </row>
    <row r="45" spans="1:13" x14ac:dyDescent="0.25">
      <c r="A45" s="1" t="s">
        <v>11</v>
      </c>
      <c r="B45" s="1" t="s">
        <v>12</v>
      </c>
      <c r="C45">
        <v>2026</v>
      </c>
      <c r="D45">
        <v>2431200</v>
      </c>
      <c r="E45">
        <v>1722100</v>
      </c>
      <c r="F45">
        <v>709100</v>
      </c>
      <c r="G45" s="2">
        <v>45378</v>
      </c>
      <c r="H45" s="3">
        <f>SUM(D:D)</f>
        <v>10447536600</v>
      </c>
      <c r="I45" s="4">
        <f>SUM(F:F)</f>
        <v>2099369250</v>
      </c>
      <c r="J45" s="4">
        <f>SUM(E:E)</f>
        <v>8348167350</v>
      </c>
      <c r="K45">
        <f>SUM(C:C)</f>
        <v>1017885</v>
      </c>
      <c r="L45">
        <f>MONTH(G:G)</f>
        <v>3</v>
      </c>
      <c r="M45">
        <f>YEAR(G:G)</f>
        <v>2024</v>
      </c>
    </row>
    <row r="46" spans="1:13" x14ac:dyDescent="0.25">
      <c r="A46" s="1" t="s">
        <v>15</v>
      </c>
      <c r="B46" s="1" t="s">
        <v>12</v>
      </c>
      <c r="C46">
        <v>2093</v>
      </c>
      <c r="D46">
        <v>2511600</v>
      </c>
      <c r="E46">
        <v>1779050</v>
      </c>
      <c r="F46">
        <v>732550</v>
      </c>
      <c r="G46" s="2">
        <v>45379</v>
      </c>
      <c r="H46" s="3">
        <f>SUM(D:D)</f>
        <v>10447536600</v>
      </c>
      <c r="I46" s="4">
        <f>SUM(F:F)</f>
        <v>2099369250</v>
      </c>
      <c r="J46" s="4">
        <f>SUM(E:E)</f>
        <v>8348167350</v>
      </c>
      <c r="K46">
        <f>SUM(C:C)</f>
        <v>1017885</v>
      </c>
      <c r="L46">
        <f>MONTH(G:G)</f>
        <v>3</v>
      </c>
      <c r="M46">
        <f>YEAR(G:G)</f>
        <v>2024</v>
      </c>
    </row>
    <row r="47" spans="1:13" x14ac:dyDescent="0.25">
      <c r="A47" s="1" t="s">
        <v>15</v>
      </c>
      <c r="B47" s="1" t="s">
        <v>17</v>
      </c>
      <c r="C47">
        <v>1585</v>
      </c>
      <c r="D47">
        <v>23775000</v>
      </c>
      <c r="E47">
        <v>17435000</v>
      </c>
      <c r="F47">
        <v>6340000</v>
      </c>
      <c r="G47" s="2">
        <v>45369</v>
      </c>
      <c r="H47" s="3">
        <f>SUM(D:D)</f>
        <v>10447536600</v>
      </c>
      <c r="I47" s="4">
        <f>SUM(F:F)</f>
        <v>2099369250</v>
      </c>
      <c r="J47" s="4">
        <f>SUM(E:E)</f>
        <v>8348167350</v>
      </c>
      <c r="K47">
        <f>SUM(C:C)</f>
        <v>1017885</v>
      </c>
      <c r="L47">
        <f>MONTH(G:G)</f>
        <v>3</v>
      </c>
      <c r="M47">
        <f>YEAR(G:G)</f>
        <v>2024</v>
      </c>
    </row>
    <row r="48" spans="1:13" x14ac:dyDescent="0.25">
      <c r="A48" s="1" t="s">
        <v>16</v>
      </c>
      <c r="B48" s="1" t="s">
        <v>17</v>
      </c>
      <c r="C48">
        <v>2432</v>
      </c>
      <c r="D48">
        <v>36480000</v>
      </c>
      <c r="E48">
        <v>26752000</v>
      </c>
      <c r="F48">
        <v>9728000</v>
      </c>
      <c r="G48" s="2">
        <v>45366</v>
      </c>
      <c r="H48" s="3">
        <f>SUM(D:D)</f>
        <v>10447536600</v>
      </c>
      <c r="I48" s="4">
        <f>SUM(F:F)</f>
        <v>2099369250</v>
      </c>
      <c r="J48" s="4">
        <f>SUM(E:E)</f>
        <v>8348167350</v>
      </c>
      <c r="K48">
        <f>SUM(C:C)</f>
        <v>1017885</v>
      </c>
      <c r="L48">
        <f>MONTH(G:G)</f>
        <v>3</v>
      </c>
      <c r="M48">
        <f>YEAR(G:G)</f>
        <v>2024</v>
      </c>
    </row>
    <row r="49" spans="1:13" x14ac:dyDescent="0.25">
      <c r="A49" s="1" t="s">
        <v>7</v>
      </c>
      <c r="B49" s="1" t="s">
        <v>17</v>
      </c>
      <c r="C49">
        <v>2248</v>
      </c>
      <c r="D49">
        <v>33720000</v>
      </c>
      <c r="E49">
        <v>24728000</v>
      </c>
      <c r="F49">
        <v>8992000</v>
      </c>
      <c r="G49" s="2">
        <v>45370</v>
      </c>
      <c r="H49" s="3">
        <f>SUM(D:D)</f>
        <v>10447536600</v>
      </c>
      <c r="I49" s="4">
        <f>SUM(F:F)</f>
        <v>2099369250</v>
      </c>
      <c r="J49" s="4">
        <f>SUM(E:E)</f>
        <v>8348167350</v>
      </c>
      <c r="K49">
        <f>SUM(C:C)</f>
        <v>1017885</v>
      </c>
      <c r="L49">
        <f>MONTH(G:G)</f>
        <v>3</v>
      </c>
      <c r="M49">
        <f>YEAR(G:G)</f>
        <v>2024</v>
      </c>
    </row>
    <row r="50" spans="1:13" x14ac:dyDescent="0.25">
      <c r="A50" s="1" t="s">
        <v>13</v>
      </c>
      <c r="B50" s="1" t="s">
        <v>8</v>
      </c>
      <c r="C50">
        <v>1414</v>
      </c>
      <c r="D50">
        <v>4242000</v>
      </c>
      <c r="E50">
        <v>2545200</v>
      </c>
      <c r="F50">
        <v>1696800</v>
      </c>
      <c r="G50" s="2">
        <v>45357</v>
      </c>
      <c r="H50" s="3">
        <f>SUM(D:D)</f>
        <v>10447536600</v>
      </c>
      <c r="I50" s="4">
        <f>SUM(F:F)</f>
        <v>2099369250</v>
      </c>
      <c r="J50" s="4">
        <f>SUM(E:E)</f>
        <v>8348167350</v>
      </c>
      <c r="K50">
        <f>SUM(C:C)</f>
        <v>1017885</v>
      </c>
      <c r="L50">
        <f>MONTH(G:G)</f>
        <v>3</v>
      </c>
      <c r="M50">
        <f>YEAR(G:G)</f>
        <v>2024</v>
      </c>
    </row>
    <row r="51" spans="1:13" x14ac:dyDescent="0.25">
      <c r="A51" s="1" t="s">
        <v>13</v>
      </c>
      <c r="B51" s="1" t="s">
        <v>14</v>
      </c>
      <c r="C51">
        <v>1895</v>
      </c>
      <c r="D51">
        <v>2274000</v>
      </c>
      <c r="E51">
        <v>1516000</v>
      </c>
      <c r="F51">
        <v>758000</v>
      </c>
      <c r="G51" s="2">
        <v>45405</v>
      </c>
      <c r="H51" s="3">
        <f>SUM(D:D)</f>
        <v>10447536600</v>
      </c>
      <c r="I51" s="4">
        <f>SUM(F:F)</f>
        <v>2099369250</v>
      </c>
      <c r="J51" s="4">
        <f>SUM(E:E)</f>
        <v>8348167350</v>
      </c>
      <c r="K51">
        <f>SUM(C:C)</f>
        <v>1017885</v>
      </c>
      <c r="L51">
        <f>MONTH(G:G)</f>
        <v>4</v>
      </c>
      <c r="M51">
        <f>YEAR(G:G)</f>
        <v>2024</v>
      </c>
    </row>
    <row r="52" spans="1:13" x14ac:dyDescent="0.25">
      <c r="A52" s="1" t="s">
        <v>20</v>
      </c>
      <c r="B52" s="1" t="s">
        <v>17</v>
      </c>
      <c r="C52">
        <v>1714</v>
      </c>
      <c r="D52">
        <v>25710000</v>
      </c>
      <c r="E52">
        <v>18854000</v>
      </c>
      <c r="F52">
        <v>6856000</v>
      </c>
      <c r="G52" s="2">
        <v>45393</v>
      </c>
      <c r="H52" s="3">
        <f>SUM(D:D)</f>
        <v>10447536600</v>
      </c>
      <c r="I52" s="4">
        <f>SUM(F:F)</f>
        <v>2099369250</v>
      </c>
      <c r="J52" s="4">
        <f>SUM(E:E)</f>
        <v>8348167350</v>
      </c>
      <c r="K52">
        <f>SUM(C:C)</f>
        <v>1017885</v>
      </c>
      <c r="L52">
        <f>MONTH(G:G)</f>
        <v>4</v>
      </c>
      <c r="M52">
        <f>YEAR(G:G)</f>
        <v>2024</v>
      </c>
    </row>
    <row r="53" spans="1:13" x14ac:dyDescent="0.25">
      <c r="A53" s="1" t="s">
        <v>21</v>
      </c>
      <c r="B53" s="1" t="s">
        <v>19</v>
      </c>
      <c r="C53">
        <v>384</v>
      </c>
      <c r="D53">
        <v>17280000</v>
      </c>
      <c r="E53">
        <v>14592000</v>
      </c>
      <c r="F53">
        <v>2688000</v>
      </c>
      <c r="G53" s="2">
        <v>45397</v>
      </c>
      <c r="H53" s="3">
        <f>SUM(D:D)</f>
        <v>10447536600</v>
      </c>
      <c r="I53" s="4">
        <f>SUM(F:F)</f>
        <v>2099369250</v>
      </c>
      <c r="J53" s="4">
        <f>SUM(E:E)</f>
        <v>8348167350</v>
      </c>
      <c r="K53">
        <f>SUM(C:C)</f>
        <v>1017885</v>
      </c>
      <c r="L53">
        <f>MONTH(G:G)</f>
        <v>4</v>
      </c>
      <c r="M53">
        <f>YEAR(G:G)</f>
        <v>2024</v>
      </c>
    </row>
    <row r="54" spans="1:13" x14ac:dyDescent="0.25">
      <c r="A54" s="1" t="s">
        <v>13</v>
      </c>
      <c r="B54" s="1" t="s">
        <v>23</v>
      </c>
      <c r="C54">
        <v>1644</v>
      </c>
      <c r="D54">
        <v>8220000</v>
      </c>
      <c r="E54">
        <v>6904800</v>
      </c>
      <c r="F54">
        <v>1315200</v>
      </c>
      <c r="G54" s="2">
        <v>45407</v>
      </c>
      <c r="H54" s="3">
        <f>SUM(D:D)</f>
        <v>10447536600</v>
      </c>
      <c r="I54" s="4">
        <f>SUM(F:F)</f>
        <v>2099369250</v>
      </c>
      <c r="J54" s="4">
        <f>SUM(E:E)</f>
        <v>8348167350</v>
      </c>
      <c r="K54">
        <f>SUM(C:C)</f>
        <v>1017885</v>
      </c>
      <c r="L54">
        <f>MONTH(G:G)</f>
        <v>4</v>
      </c>
      <c r="M54">
        <f>YEAR(G:G)</f>
        <v>2024</v>
      </c>
    </row>
    <row r="55" spans="1:13" x14ac:dyDescent="0.25">
      <c r="A55" s="1" t="s">
        <v>11</v>
      </c>
      <c r="B55" s="1" t="s">
        <v>10</v>
      </c>
      <c r="C55">
        <v>1983</v>
      </c>
      <c r="D55">
        <v>6940500</v>
      </c>
      <c r="E55">
        <v>5155800</v>
      </c>
      <c r="F55">
        <v>1784700</v>
      </c>
      <c r="G55" s="2">
        <v>45405</v>
      </c>
      <c r="H55" s="3">
        <f>SUM(D:D)</f>
        <v>10447536600</v>
      </c>
      <c r="I55" s="4">
        <f>SUM(F:F)</f>
        <v>2099369250</v>
      </c>
      <c r="J55" s="4">
        <f>SUM(E:E)</f>
        <v>8348167350</v>
      </c>
      <c r="K55">
        <f>SUM(C:C)</f>
        <v>1017885</v>
      </c>
      <c r="L55">
        <f>MONTH(G:G)</f>
        <v>4</v>
      </c>
      <c r="M55">
        <f>YEAR(G:G)</f>
        <v>2024</v>
      </c>
    </row>
    <row r="56" spans="1:13" x14ac:dyDescent="0.25">
      <c r="A56" s="1" t="s">
        <v>18</v>
      </c>
      <c r="B56" s="1" t="s">
        <v>14</v>
      </c>
      <c r="C56">
        <v>2446</v>
      </c>
      <c r="D56">
        <v>2935200</v>
      </c>
      <c r="E56">
        <v>1956800</v>
      </c>
      <c r="F56">
        <v>978400</v>
      </c>
      <c r="G56" s="2">
        <v>45386</v>
      </c>
      <c r="H56" s="3">
        <f>SUM(D:D)</f>
        <v>10447536600</v>
      </c>
      <c r="I56" s="4">
        <f>SUM(F:F)</f>
        <v>2099369250</v>
      </c>
      <c r="J56" s="4">
        <f>SUM(E:E)</f>
        <v>8348167350</v>
      </c>
      <c r="K56">
        <f>SUM(C:C)</f>
        <v>1017885</v>
      </c>
      <c r="L56">
        <f>MONTH(G:G)</f>
        <v>4</v>
      </c>
      <c r="M56">
        <f>YEAR(G:G)</f>
        <v>2024</v>
      </c>
    </row>
    <row r="57" spans="1:13" x14ac:dyDescent="0.25">
      <c r="A57" s="1" t="s">
        <v>13</v>
      </c>
      <c r="B57" s="1" t="s">
        <v>10</v>
      </c>
      <c r="C57">
        <v>1754</v>
      </c>
      <c r="D57">
        <v>6139000</v>
      </c>
      <c r="E57">
        <v>4560400</v>
      </c>
      <c r="F57">
        <v>1578600</v>
      </c>
      <c r="G57" s="2">
        <v>45383</v>
      </c>
      <c r="H57" s="3">
        <f>SUM(D:D)</f>
        <v>10447536600</v>
      </c>
      <c r="I57" s="4">
        <f>SUM(F:F)</f>
        <v>2099369250</v>
      </c>
      <c r="J57" s="4">
        <f>SUM(E:E)</f>
        <v>8348167350</v>
      </c>
      <c r="K57">
        <f>SUM(C:C)</f>
        <v>1017885</v>
      </c>
      <c r="L57">
        <f>MONTH(G:G)</f>
        <v>4</v>
      </c>
      <c r="M57">
        <f>YEAR(G:G)</f>
        <v>2024</v>
      </c>
    </row>
    <row r="58" spans="1:13" x14ac:dyDescent="0.25">
      <c r="A58" s="1" t="s">
        <v>13</v>
      </c>
      <c r="B58" s="1" t="s">
        <v>23</v>
      </c>
      <c r="C58">
        <v>1186</v>
      </c>
      <c r="D58">
        <v>5930000</v>
      </c>
      <c r="E58">
        <v>4981200</v>
      </c>
      <c r="F58">
        <v>948800</v>
      </c>
      <c r="G58" s="2">
        <v>45392</v>
      </c>
      <c r="H58" s="3">
        <f>SUM(D:D)</f>
        <v>10447536600</v>
      </c>
      <c r="I58" s="4">
        <f>SUM(F:F)</f>
        <v>2099369250</v>
      </c>
      <c r="J58" s="4">
        <f>SUM(E:E)</f>
        <v>8348167350</v>
      </c>
      <c r="K58">
        <f>SUM(C:C)</f>
        <v>1017885</v>
      </c>
      <c r="L58">
        <f>MONTH(G:G)</f>
        <v>4</v>
      </c>
      <c r="M58">
        <f>YEAR(G:G)</f>
        <v>2024</v>
      </c>
    </row>
    <row r="59" spans="1:13" x14ac:dyDescent="0.25">
      <c r="A59" s="1" t="s">
        <v>20</v>
      </c>
      <c r="B59" s="1" t="s">
        <v>19</v>
      </c>
      <c r="C59">
        <v>1399</v>
      </c>
      <c r="D59">
        <v>62955000</v>
      </c>
      <c r="E59">
        <v>53162000</v>
      </c>
      <c r="F59">
        <v>9793000</v>
      </c>
      <c r="G59" s="2">
        <v>45383</v>
      </c>
      <c r="H59" s="3">
        <f>SUM(D:D)</f>
        <v>10447536600</v>
      </c>
      <c r="I59" s="4">
        <f>SUM(F:F)</f>
        <v>2099369250</v>
      </c>
      <c r="J59" s="4">
        <f>SUM(E:E)</f>
        <v>8348167350</v>
      </c>
      <c r="K59">
        <f>SUM(C:C)</f>
        <v>1017885</v>
      </c>
      <c r="L59">
        <f>MONTH(G:G)</f>
        <v>4</v>
      </c>
      <c r="M59">
        <f>YEAR(G:G)</f>
        <v>2024</v>
      </c>
    </row>
    <row r="60" spans="1:13" x14ac:dyDescent="0.25">
      <c r="A60" s="1" t="s">
        <v>18</v>
      </c>
      <c r="B60" s="1" t="s">
        <v>10</v>
      </c>
      <c r="C60">
        <v>78</v>
      </c>
      <c r="D60">
        <v>273000</v>
      </c>
      <c r="E60">
        <v>202800</v>
      </c>
      <c r="F60">
        <v>70200</v>
      </c>
      <c r="G60" s="2">
        <v>45396</v>
      </c>
      <c r="H60" s="3">
        <f>SUM(D:D)</f>
        <v>10447536600</v>
      </c>
      <c r="I60" s="4">
        <f>SUM(F:F)</f>
        <v>2099369250</v>
      </c>
      <c r="J60" s="4">
        <f>SUM(E:E)</f>
        <v>8348167350</v>
      </c>
      <c r="K60">
        <f>SUM(C:C)</f>
        <v>1017885</v>
      </c>
      <c r="L60">
        <f>MONTH(G:G)</f>
        <v>4</v>
      </c>
      <c r="M60">
        <f>YEAR(G:G)</f>
        <v>2024</v>
      </c>
    </row>
    <row r="61" spans="1:13" x14ac:dyDescent="0.25">
      <c r="A61" s="1" t="s">
        <v>15</v>
      </c>
      <c r="B61" s="1" t="s">
        <v>23</v>
      </c>
      <c r="C61">
        <v>918</v>
      </c>
      <c r="D61">
        <v>4590000</v>
      </c>
      <c r="E61">
        <v>3855600</v>
      </c>
      <c r="F61">
        <v>734400</v>
      </c>
      <c r="G61" s="2">
        <v>45392</v>
      </c>
      <c r="H61" s="3">
        <f>SUM(D:D)</f>
        <v>10447536600</v>
      </c>
      <c r="I61" s="4">
        <f>SUM(F:F)</f>
        <v>2099369250</v>
      </c>
      <c r="J61" s="4">
        <f>SUM(E:E)</f>
        <v>8348167350</v>
      </c>
      <c r="K61">
        <f>SUM(C:C)</f>
        <v>1017885</v>
      </c>
      <c r="L61">
        <f>MONTH(G:G)</f>
        <v>4</v>
      </c>
      <c r="M61">
        <f>YEAR(G:G)</f>
        <v>2024</v>
      </c>
    </row>
    <row r="62" spans="1:13" x14ac:dyDescent="0.25">
      <c r="A62" s="1" t="s">
        <v>21</v>
      </c>
      <c r="B62" s="1" t="s">
        <v>8</v>
      </c>
      <c r="C62">
        <v>576</v>
      </c>
      <c r="D62">
        <v>1728000</v>
      </c>
      <c r="E62">
        <v>1036800</v>
      </c>
      <c r="F62">
        <v>691200</v>
      </c>
      <c r="G62" s="2">
        <v>45410</v>
      </c>
      <c r="H62" s="3">
        <f>SUM(D:D)</f>
        <v>10447536600</v>
      </c>
      <c r="I62" s="4">
        <f>SUM(F:F)</f>
        <v>2099369250</v>
      </c>
      <c r="J62" s="4">
        <f>SUM(E:E)</f>
        <v>8348167350</v>
      </c>
      <c r="K62">
        <f>SUM(C:C)</f>
        <v>1017885</v>
      </c>
      <c r="L62">
        <f>MONTH(G:G)</f>
        <v>4</v>
      </c>
      <c r="M62">
        <f>YEAR(G:G)</f>
        <v>2024</v>
      </c>
    </row>
    <row r="63" spans="1:13" x14ac:dyDescent="0.25">
      <c r="A63" s="1" t="s">
        <v>9</v>
      </c>
      <c r="B63" s="1" t="s">
        <v>10</v>
      </c>
      <c r="C63">
        <v>1439</v>
      </c>
      <c r="D63">
        <v>5036500</v>
      </c>
      <c r="E63">
        <v>3741400</v>
      </c>
      <c r="F63">
        <v>1295100</v>
      </c>
      <c r="G63" s="2">
        <v>45404</v>
      </c>
      <c r="H63" s="3">
        <f>SUM(D:D)</f>
        <v>10447536600</v>
      </c>
      <c r="I63" s="4">
        <f>SUM(F:F)</f>
        <v>2099369250</v>
      </c>
      <c r="J63" s="4">
        <f>SUM(E:E)</f>
        <v>8348167350</v>
      </c>
      <c r="K63">
        <f>SUM(C:C)</f>
        <v>1017885</v>
      </c>
      <c r="L63">
        <f>MONTH(G:G)</f>
        <v>4</v>
      </c>
      <c r="M63">
        <f>YEAR(G:G)</f>
        <v>2024</v>
      </c>
    </row>
    <row r="64" spans="1:13" x14ac:dyDescent="0.25">
      <c r="A64" s="1" t="s">
        <v>13</v>
      </c>
      <c r="B64" s="1" t="s">
        <v>17</v>
      </c>
      <c r="C64">
        <v>1759</v>
      </c>
      <c r="D64">
        <v>26385000</v>
      </c>
      <c r="E64">
        <v>19349000</v>
      </c>
      <c r="F64">
        <v>7036000</v>
      </c>
      <c r="G64" s="2">
        <v>45399</v>
      </c>
      <c r="H64" s="3">
        <f>SUM(D:D)</f>
        <v>10447536600</v>
      </c>
      <c r="I64" s="4">
        <f>SUM(F:F)</f>
        <v>2099369250</v>
      </c>
      <c r="J64" s="4">
        <f>SUM(E:E)</f>
        <v>8348167350</v>
      </c>
      <c r="K64">
        <f>SUM(C:C)</f>
        <v>1017885</v>
      </c>
      <c r="L64">
        <f>MONTH(G:G)</f>
        <v>4</v>
      </c>
      <c r="M64">
        <f>YEAR(G:G)</f>
        <v>2024</v>
      </c>
    </row>
    <row r="65" spans="1:13" x14ac:dyDescent="0.25">
      <c r="A65" s="1" t="s">
        <v>11</v>
      </c>
      <c r="B65" s="1" t="s">
        <v>8</v>
      </c>
      <c r="C65">
        <v>2871</v>
      </c>
      <c r="D65">
        <v>8613000</v>
      </c>
      <c r="E65">
        <v>5167800</v>
      </c>
      <c r="F65">
        <v>3445200</v>
      </c>
      <c r="G65" s="2">
        <v>45403</v>
      </c>
      <c r="H65" s="3">
        <f>SUM(D:D)</f>
        <v>10447536600</v>
      </c>
      <c r="I65" s="4">
        <f>SUM(F:F)</f>
        <v>2099369250</v>
      </c>
      <c r="J65" s="4">
        <f>SUM(E:E)</f>
        <v>8348167350</v>
      </c>
      <c r="K65">
        <f>SUM(C:C)</f>
        <v>1017885</v>
      </c>
      <c r="L65">
        <f>MONTH(G:G)</f>
        <v>4</v>
      </c>
      <c r="M65">
        <f>YEAR(G:G)</f>
        <v>2024</v>
      </c>
    </row>
    <row r="66" spans="1:13" x14ac:dyDescent="0.25">
      <c r="A66" s="1" t="s">
        <v>16</v>
      </c>
      <c r="B66" s="1" t="s">
        <v>17</v>
      </c>
      <c r="C66">
        <v>2121</v>
      </c>
      <c r="D66">
        <v>31815000</v>
      </c>
      <c r="E66">
        <v>23331000</v>
      </c>
      <c r="F66">
        <v>8484000</v>
      </c>
      <c r="G66" s="2">
        <v>45404</v>
      </c>
      <c r="H66" s="3">
        <f>SUM(D:D)</f>
        <v>10447536600</v>
      </c>
      <c r="I66" s="4">
        <f>SUM(F:F)</f>
        <v>2099369250</v>
      </c>
      <c r="J66" s="4">
        <f>SUM(E:E)</f>
        <v>8348167350</v>
      </c>
      <c r="K66">
        <f>SUM(C:C)</f>
        <v>1017885</v>
      </c>
      <c r="L66">
        <f>MONTH(G:G)</f>
        <v>4</v>
      </c>
      <c r="M66">
        <f>YEAR(G:G)</f>
        <v>2024</v>
      </c>
    </row>
    <row r="67" spans="1:13" x14ac:dyDescent="0.25">
      <c r="A67" s="1" t="s">
        <v>18</v>
      </c>
      <c r="B67" s="1" t="s">
        <v>23</v>
      </c>
      <c r="C67">
        <v>1132</v>
      </c>
      <c r="D67">
        <v>5660000</v>
      </c>
      <c r="E67">
        <v>4754400</v>
      </c>
      <c r="F67">
        <v>905600</v>
      </c>
      <c r="G67" s="2">
        <v>45389</v>
      </c>
      <c r="H67" s="3">
        <f>SUM(D:D)</f>
        <v>10447536600</v>
      </c>
      <c r="I67" s="4">
        <f>SUM(F:F)</f>
        <v>2099369250</v>
      </c>
      <c r="J67" s="4">
        <f>SUM(E:E)</f>
        <v>8348167350</v>
      </c>
      <c r="K67">
        <f>SUM(C:C)</f>
        <v>1017885</v>
      </c>
      <c r="L67">
        <f>MONTH(G:G)</f>
        <v>4</v>
      </c>
      <c r="M67">
        <f>YEAR(G:G)</f>
        <v>2024</v>
      </c>
    </row>
    <row r="68" spans="1:13" x14ac:dyDescent="0.25">
      <c r="A68" s="1" t="s">
        <v>7</v>
      </c>
      <c r="B68" s="1" t="s">
        <v>23</v>
      </c>
      <c r="C68">
        <v>2298</v>
      </c>
      <c r="D68">
        <v>11490000</v>
      </c>
      <c r="E68">
        <v>9651600</v>
      </c>
      <c r="F68">
        <v>1838400</v>
      </c>
      <c r="G68" s="2">
        <v>45434</v>
      </c>
      <c r="H68" s="3">
        <f>SUM(D:D)</f>
        <v>10447536600</v>
      </c>
      <c r="I68" s="4">
        <f>SUM(F:F)</f>
        <v>2099369250</v>
      </c>
      <c r="J68" s="4">
        <f>SUM(E:E)</f>
        <v>8348167350</v>
      </c>
      <c r="K68">
        <f>SUM(C:C)</f>
        <v>1017885</v>
      </c>
      <c r="L68">
        <f>MONTH(G:G)</f>
        <v>5</v>
      </c>
      <c r="M68">
        <f>YEAR(G:G)</f>
        <v>2024</v>
      </c>
    </row>
    <row r="69" spans="1:13" x14ac:dyDescent="0.25">
      <c r="A69" s="1" t="s">
        <v>21</v>
      </c>
      <c r="B69" s="1" t="s">
        <v>10</v>
      </c>
      <c r="C69">
        <v>1611</v>
      </c>
      <c r="D69">
        <v>5638500</v>
      </c>
      <c r="E69">
        <v>4188600</v>
      </c>
      <c r="F69">
        <v>1449900</v>
      </c>
      <c r="G69" s="2">
        <v>45432</v>
      </c>
      <c r="H69" s="3">
        <f>SUM(D:D)</f>
        <v>10447536600</v>
      </c>
      <c r="I69" s="4">
        <f>SUM(F:F)</f>
        <v>2099369250</v>
      </c>
      <c r="J69" s="4">
        <f>SUM(E:E)</f>
        <v>8348167350</v>
      </c>
      <c r="K69">
        <f>SUM(C:C)</f>
        <v>1017885</v>
      </c>
      <c r="L69">
        <f>MONTH(G:G)</f>
        <v>5</v>
      </c>
      <c r="M69">
        <f>YEAR(G:G)</f>
        <v>2024</v>
      </c>
    </row>
    <row r="70" spans="1:13" x14ac:dyDescent="0.25">
      <c r="A70" s="1" t="s">
        <v>13</v>
      </c>
      <c r="B70" s="1" t="s">
        <v>8</v>
      </c>
      <c r="C70">
        <v>2717</v>
      </c>
      <c r="D70">
        <v>8151000</v>
      </c>
      <c r="E70">
        <v>4890600</v>
      </c>
      <c r="F70">
        <v>3260400</v>
      </c>
      <c r="G70" s="2">
        <v>45432</v>
      </c>
      <c r="H70" s="3">
        <f>SUM(D:D)</f>
        <v>10447536600</v>
      </c>
      <c r="I70" s="4">
        <f>SUM(F:F)</f>
        <v>2099369250</v>
      </c>
      <c r="J70" s="4">
        <f>SUM(E:E)</f>
        <v>8348167350</v>
      </c>
      <c r="K70">
        <f>SUM(C:C)</f>
        <v>1017885</v>
      </c>
      <c r="L70">
        <f>MONTH(G:G)</f>
        <v>5</v>
      </c>
      <c r="M70">
        <f>YEAR(G:G)</f>
        <v>2024</v>
      </c>
    </row>
    <row r="71" spans="1:13" x14ac:dyDescent="0.25">
      <c r="A71" s="1" t="s">
        <v>13</v>
      </c>
      <c r="B71" s="1" t="s">
        <v>14</v>
      </c>
      <c r="C71">
        <v>1422</v>
      </c>
      <c r="D71">
        <v>1706400</v>
      </c>
      <c r="E71">
        <v>1137600</v>
      </c>
      <c r="F71">
        <v>568800</v>
      </c>
      <c r="G71" s="2">
        <v>45443</v>
      </c>
      <c r="H71" s="3">
        <f>SUM(D:D)</f>
        <v>10447536600</v>
      </c>
      <c r="I71" s="4">
        <f>SUM(F:F)</f>
        <v>2099369250</v>
      </c>
      <c r="J71" s="4">
        <f>SUM(E:E)</f>
        <v>8348167350</v>
      </c>
      <c r="K71">
        <f>SUM(C:C)</f>
        <v>1017885</v>
      </c>
      <c r="L71">
        <f>MONTH(G:G)</f>
        <v>5</v>
      </c>
      <c r="M71">
        <f>YEAR(G:G)</f>
        <v>2024</v>
      </c>
    </row>
    <row r="72" spans="1:13" x14ac:dyDescent="0.25">
      <c r="A72" s="1" t="s">
        <v>21</v>
      </c>
      <c r="B72" s="1" t="s">
        <v>17</v>
      </c>
      <c r="C72">
        <v>788</v>
      </c>
      <c r="D72">
        <v>11820000</v>
      </c>
      <c r="E72">
        <v>8668000</v>
      </c>
      <c r="F72">
        <v>3152000</v>
      </c>
      <c r="G72" s="2">
        <v>45437</v>
      </c>
      <c r="H72" s="3">
        <f>SUM(D:D)</f>
        <v>10447536600</v>
      </c>
      <c r="I72" s="4">
        <f>SUM(F:F)</f>
        <v>2099369250</v>
      </c>
      <c r="J72" s="4">
        <f>SUM(E:E)</f>
        <v>8348167350</v>
      </c>
      <c r="K72">
        <f>SUM(C:C)</f>
        <v>1017885</v>
      </c>
      <c r="L72">
        <f>MONTH(G:G)</f>
        <v>5</v>
      </c>
      <c r="M72">
        <f>YEAR(G:G)</f>
        <v>2024</v>
      </c>
    </row>
    <row r="73" spans="1:13" x14ac:dyDescent="0.25">
      <c r="A73" s="1" t="s">
        <v>16</v>
      </c>
      <c r="B73" s="1" t="s">
        <v>10</v>
      </c>
      <c r="C73">
        <v>988</v>
      </c>
      <c r="D73">
        <v>3458000</v>
      </c>
      <c r="E73">
        <v>2568800</v>
      </c>
      <c r="F73">
        <v>889200</v>
      </c>
      <c r="G73" s="2">
        <v>45440</v>
      </c>
      <c r="H73" s="3">
        <f>SUM(D:D)</f>
        <v>10447536600</v>
      </c>
      <c r="I73" s="4">
        <f>SUM(F:F)</f>
        <v>2099369250</v>
      </c>
      <c r="J73" s="4">
        <f>SUM(E:E)</f>
        <v>8348167350</v>
      </c>
      <c r="K73">
        <f>SUM(C:C)</f>
        <v>1017885</v>
      </c>
      <c r="L73">
        <f>MONTH(G:G)</f>
        <v>5</v>
      </c>
      <c r="M73">
        <f>YEAR(G:G)</f>
        <v>2024</v>
      </c>
    </row>
    <row r="74" spans="1:13" x14ac:dyDescent="0.25">
      <c r="A74" s="1" t="s">
        <v>9</v>
      </c>
      <c r="B74" s="1" t="s">
        <v>12</v>
      </c>
      <c r="C74">
        <v>2787</v>
      </c>
      <c r="D74">
        <v>3344400</v>
      </c>
      <c r="E74">
        <v>2368950</v>
      </c>
      <c r="F74">
        <v>975450</v>
      </c>
      <c r="G74" s="2">
        <v>45440</v>
      </c>
      <c r="H74" s="3">
        <f>SUM(D:D)</f>
        <v>10447536600</v>
      </c>
      <c r="I74" s="4">
        <f>SUM(F:F)</f>
        <v>2099369250</v>
      </c>
      <c r="J74" s="4">
        <f>SUM(E:E)</f>
        <v>8348167350</v>
      </c>
      <c r="K74">
        <f>SUM(C:C)</f>
        <v>1017885</v>
      </c>
      <c r="L74">
        <f>MONTH(G:G)</f>
        <v>5</v>
      </c>
      <c r="M74">
        <f>YEAR(G:G)</f>
        <v>2024</v>
      </c>
    </row>
    <row r="75" spans="1:13" x14ac:dyDescent="0.25">
      <c r="A75" s="1" t="s">
        <v>15</v>
      </c>
      <c r="B75" s="1" t="s">
        <v>10</v>
      </c>
      <c r="C75">
        <v>570</v>
      </c>
      <c r="D75">
        <v>1995000</v>
      </c>
      <c r="E75">
        <v>1482000</v>
      </c>
      <c r="F75">
        <v>513000</v>
      </c>
      <c r="G75" s="2">
        <v>45434</v>
      </c>
      <c r="H75" s="3">
        <f>SUM(D:D)</f>
        <v>10447536600</v>
      </c>
      <c r="I75" s="4">
        <f>SUM(F:F)</f>
        <v>2099369250</v>
      </c>
      <c r="J75" s="4">
        <f>SUM(E:E)</f>
        <v>8348167350</v>
      </c>
      <c r="K75">
        <f>SUM(C:C)</f>
        <v>1017885</v>
      </c>
      <c r="L75">
        <f>MONTH(G:G)</f>
        <v>5</v>
      </c>
      <c r="M75">
        <f>YEAR(G:G)</f>
        <v>2024</v>
      </c>
    </row>
    <row r="76" spans="1:13" x14ac:dyDescent="0.25">
      <c r="A76" s="1" t="s">
        <v>22</v>
      </c>
      <c r="B76" s="1" t="s">
        <v>19</v>
      </c>
      <c r="C76">
        <v>2425</v>
      </c>
      <c r="D76">
        <v>109125000</v>
      </c>
      <c r="E76">
        <v>92150000</v>
      </c>
      <c r="F76">
        <v>16975000</v>
      </c>
      <c r="G76" s="2">
        <v>45425</v>
      </c>
      <c r="H76" s="3">
        <f>SUM(D:D)</f>
        <v>10447536600</v>
      </c>
      <c r="I76" s="4">
        <f>SUM(F:F)</f>
        <v>2099369250</v>
      </c>
      <c r="J76" s="4">
        <f>SUM(E:E)</f>
        <v>8348167350</v>
      </c>
      <c r="K76">
        <f>SUM(C:C)</f>
        <v>1017885</v>
      </c>
      <c r="L76">
        <f>MONTH(G:G)</f>
        <v>5</v>
      </c>
      <c r="M76">
        <f>YEAR(G:G)</f>
        <v>2024</v>
      </c>
    </row>
    <row r="77" spans="1:13" x14ac:dyDescent="0.25">
      <c r="A77" s="1" t="s">
        <v>11</v>
      </c>
      <c r="B77" s="1" t="s">
        <v>12</v>
      </c>
      <c r="C77">
        <v>845</v>
      </c>
      <c r="D77">
        <v>1014000</v>
      </c>
      <c r="E77">
        <v>718250</v>
      </c>
      <c r="F77">
        <v>295750</v>
      </c>
      <c r="G77" s="2">
        <v>45421</v>
      </c>
      <c r="H77" s="3">
        <f>SUM(D:D)</f>
        <v>10447536600</v>
      </c>
      <c r="I77" s="4">
        <f>SUM(F:F)</f>
        <v>2099369250</v>
      </c>
      <c r="J77" s="4">
        <f>SUM(E:E)</f>
        <v>8348167350</v>
      </c>
      <c r="K77">
        <f>SUM(C:C)</f>
        <v>1017885</v>
      </c>
      <c r="L77">
        <f>MONTH(G:G)</f>
        <v>5</v>
      </c>
      <c r="M77">
        <f>YEAR(G:G)</f>
        <v>2024</v>
      </c>
    </row>
    <row r="78" spans="1:13" x14ac:dyDescent="0.25">
      <c r="A78" s="1" t="s">
        <v>21</v>
      </c>
      <c r="B78" s="1" t="s">
        <v>8</v>
      </c>
      <c r="C78">
        <v>2913</v>
      </c>
      <c r="D78">
        <v>8739000</v>
      </c>
      <c r="E78">
        <v>5243400</v>
      </c>
      <c r="F78">
        <v>3495600</v>
      </c>
      <c r="G78" s="2">
        <v>45419</v>
      </c>
      <c r="H78" s="3">
        <f>SUM(D:D)</f>
        <v>10447536600</v>
      </c>
      <c r="I78" s="4">
        <f>SUM(F:F)</f>
        <v>2099369250</v>
      </c>
      <c r="J78" s="4">
        <f>SUM(E:E)</f>
        <v>8348167350</v>
      </c>
      <c r="K78">
        <f>SUM(C:C)</f>
        <v>1017885</v>
      </c>
      <c r="L78">
        <f>MONTH(G:G)</f>
        <v>5</v>
      </c>
      <c r="M78">
        <f>YEAR(G:G)</f>
        <v>2024</v>
      </c>
    </row>
    <row r="79" spans="1:13" x14ac:dyDescent="0.25">
      <c r="A79" s="1" t="s">
        <v>9</v>
      </c>
      <c r="B79" s="1" t="s">
        <v>17</v>
      </c>
      <c r="C79">
        <v>638</v>
      </c>
      <c r="D79">
        <v>9570000</v>
      </c>
      <c r="E79">
        <v>7018000</v>
      </c>
      <c r="F79">
        <v>2552000</v>
      </c>
      <c r="G79" s="2">
        <v>45440</v>
      </c>
      <c r="H79" s="3">
        <f>SUM(D:D)</f>
        <v>10447536600</v>
      </c>
      <c r="I79" s="4">
        <f>SUM(F:F)</f>
        <v>2099369250</v>
      </c>
      <c r="J79" s="4">
        <f>SUM(E:E)</f>
        <v>8348167350</v>
      </c>
      <c r="K79">
        <f>SUM(C:C)</f>
        <v>1017885</v>
      </c>
      <c r="L79">
        <f>MONTH(G:G)</f>
        <v>5</v>
      </c>
      <c r="M79">
        <f>YEAR(G:G)</f>
        <v>2024</v>
      </c>
    </row>
    <row r="80" spans="1:13" x14ac:dyDescent="0.25">
      <c r="A80" s="1" t="s">
        <v>16</v>
      </c>
      <c r="B80" s="1" t="s">
        <v>10</v>
      </c>
      <c r="C80">
        <v>2963</v>
      </c>
      <c r="D80">
        <v>10370500</v>
      </c>
      <c r="E80">
        <v>7703800</v>
      </c>
      <c r="F80">
        <v>2666700</v>
      </c>
      <c r="G80" s="2">
        <v>45415</v>
      </c>
      <c r="H80" s="3">
        <f>SUM(D:D)</f>
        <v>10447536600</v>
      </c>
      <c r="I80" s="4">
        <f>SUM(F:F)</f>
        <v>2099369250</v>
      </c>
      <c r="J80" s="4">
        <f>SUM(E:E)</f>
        <v>8348167350</v>
      </c>
      <c r="K80">
        <f>SUM(C:C)</f>
        <v>1017885</v>
      </c>
      <c r="L80">
        <f>MONTH(G:G)</f>
        <v>5</v>
      </c>
      <c r="M80">
        <f>YEAR(G:G)</f>
        <v>2024</v>
      </c>
    </row>
    <row r="81" spans="1:13" x14ac:dyDescent="0.25">
      <c r="A81" s="1" t="s">
        <v>15</v>
      </c>
      <c r="B81" s="1" t="s">
        <v>17</v>
      </c>
      <c r="C81">
        <v>619</v>
      </c>
      <c r="D81">
        <v>9285000</v>
      </c>
      <c r="E81">
        <v>6809000</v>
      </c>
      <c r="F81">
        <v>2476000</v>
      </c>
      <c r="G81" s="2">
        <v>45420</v>
      </c>
      <c r="H81" s="3">
        <f>SUM(D:D)</f>
        <v>10447536600</v>
      </c>
      <c r="I81" s="4">
        <f>SUM(F:F)</f>
        <v>2099369250</v>
      </c>
      <c r="J81" s="4">
        <f>SUM(E:E)</f>
        <v>8348167350</v>
      </c>
      <c r="K81">
        <f>SUM(C:C)</f>
        <v>1017885</v>
      </c>
      <c r="L81">
        <f>MONTH(G:G)</f>
        <v>5</v>
      </c>
      <c r="M81">
        <f>YEAR(G:G)</f>
        <v>2024</v>
      </c>
    </row>
    <row r="82" spans="1:13" x14ac:dyDescent="0.25">
      <c r="A82" s="1" t="s">
        <v>13</v>
      </c>
      <c r="B82" s="1" t="s">
        <v>8</v>
      </c>
      <c r="C82">
        <v>2030</v>
      </c>
      <c r="D82">
        <v>6090000</v>
      </c>
      <c r="E82">
        <v>3654000</v>
      </c>
      <c r="F82">
        <v>2436000</v>
      </c>
      <c r="G82" s="2">
        <v>45439</v>
      </c>
      <c r="H82" s="3">
        <f>SUM(D:D)</f>
        <v>10447536600</v>
      </c>
      <c r="I82" s="4">
        <f>SUM(F:F)</f>
        <v>2099369250</v>
      </c>
      <c r="J82" s="4">
        <f>SUM(E:E)</f>
        <v>8348167350</v>
      </c>
      <c r="K82">
        <f>SUM(C:C)</f>
        <v>1017885</v>
      </c>
      <c r="L82">
        <f>MONTH(G:G)</f>
        <v>5</v>
      </c>
      <c r="M82">
        <f>YEAR(G:G)</f>
        <v>2024</v>
      </c>
    </row>
    <row r="83" spans="1:13" x14ac:dyDescent="0.25">
      <c r="A83" s="1" t="s">
        <v>11</v>
      </c>
      <c r="B83" s="1" t="s">
        <v>10</v>
      </c>
      <c r="C83">
        <v>569</v>
      </c>
      <c r="D83">
        <v>1991500</v>
      </c>
      <c r="E83">
        <v>1479400</v>
      </c>
      <c r="F83">
        <v>512100</v>
      </c>
      <c r="G83" s="2">
        <v>45429</v>
      </c>
      <c r="H83" s="3">
        <f>SUM(D:D)</f>
        <v>10447536600</v>
      </c>
      <c r="I83" s="4">
        <f>SUM(F:F)</f>
        <v>2099369250</v>
      </c>
      <c r="J83" s="4">
        <f>SUM(E:E)</f>
        <v>8348167350</v>
      </c>
      <c r="K83">
        <f>SUM(C:C)</f>
        <v>1017885</v>
      </c>
      <c r="L83">
        <f>MONTH(G:G)</f>
        <v>5</v>
      </c>
      <c r="M83">
        <f>YEAR(G:G)</f>
        <v>2024</v>
      </c>
    </row>
    <row r="84" spans="1:13" x14ac:dyDescent="0.25">
      <c r="A84" s="1" t="s">
        <v>15</v>
      </c>
      <c r="B84" s="1" t="s">
        <v>12</v>
      </c>
      <c r="C84">
        <v>1309</v>
      </c>
      <c r="D84">
        <v>1570800</v>
      </c>
      <c r="E84">
        <v>1112650</v>
      </c>
      <c r="F84">
        <v>458150</v>
      </c>
      <c r="G84" s="2">
        <v>45440</v>
      </c>
      <c r="H84" s="3">
        <f>SUM(D:D)</f>
        <v>10447536600</v>
      </c>
      <c r="I84" s="4">
        <f>SUM(F:F)</f>
        <v>2099369250</v>
      </c>
      <c r="J84" s="4">
        <f>SUM(E:E)</f>
        <v>8348167350</v>
      </c>
      <c r="K84">
        <f>SUM(C:C)</f>
        <v>1017885</v>
      </c>
      <c r="L84">
        <f>MONTH(G:G)</f>
        <v>5</v>
      </c>
      <c r="M84">
        <f>YEAR(G:G)</f>
        <v>2024</v>
      </c>
    </row>
    <row r="85" spans="1:13" x14ac:dyDescent="0.25">
      <c r="A85" s="1" t="s">
        <v>16</v>
      </c>
      <c r="B85" s="1" t="s">
        <v>19</v>
      </c>
      <c r="C85">
        <v>121</v>
      </c>
      <c r="D85">
        <v>5445000</v>
      </c>
      <c r="E85">
        <v>4598000</v>
      </c>
      <c r="F85">
        <v>847000</v>
      </c>
      <c r="G85" s="2">
        <v>45415</v>
      </c>
      <c r="H85" s="3">
        <f>SUM(D:D)</f>
        <v>10447536600</v>
      </c>
      <c r="I85" s="4">
        <f>SUM(F:F)</f>
        <v>2099369250</v>
      </c>
      <c r="J85" s="4">
        <f>SUM(E:E)</f>
        <v>8348167350</v>
      </c>
      <c r="K85">
        <f>SUM(C:C)</f>
        <v>1017885</v>
      </c>
      <c r="L85">
        <f>MONTH(G:G)</f>
        <v>5</v>
      </c>
      <c r="M85">
        <f>YEAR(G:G)</f>
        <v>2024</v>
      </c>
    </row>
    <row r="86" spans="1:13" x14ac:dyDescent="0.25">
      <c r="A86" s="1" t="s">
        <v>7</v>
      </c>
      <c r="B86" s="1" t="s">
        <v>23</v>
      </c>
      <c r="C86">
        <v>215</v>
      </c>
      <c r="D86">
        <v>1075000</v>
      </c>
      <c r="E86">
        <v>903000</v>
      </c>
      <c r="F86">
        <v>172000</v>
      </c>
      <c r="G86" s="2">
        <v>45413</v>
      </c>
      <c r="H86" s="3">
        <f>SUM(D:D)</f>
        <v>10447536600</v>
      </c>
      <c r="I86" s="4">
        <f>SUM(F:F)</f>
        <v>2099369250</v>
      </c>
      <c r="J86" s="4">
        <f>SUM(E:E)</f>
        <v>8348167350</v>
      </c>
      <c r="K86">
        <f>SUM(C:C)</f>
        <v>1017885</v>
      </c>
      <c r="L86">
        <f>MONTH(G:G)</f>
        <v>5</v>
      </c>
      <c r="M86">
        <f>YEAR(G:G)</f>
        <v>2024</v>
      </c>
    </row>
    <row r="87" spans="1:13" x14ac:dyDescent="0.25">
      <c r="A87" s="1" t="s">
        <v>20</v>
      </c>
      <c r="B87" s="1" t="s">
        <v>8</v>
      </c>
      <c r="C87">
        <v>2898</v>
      </c>
      <c r="D87">
        <v>8694000</v>
      </c>
      <c r="E87">
        <v>5216400</v>
      </c>
      <c r="F87">
        <v>3477600</v>
      </c>
      <c r="G87" s="2">
        <v>45440</v>
      </c>
      <c r="H87" s="3">
        <f>SUM(D:D)</f>
        <v>10447536600</v>
      </c>
      <c r="I87" s="4">
        <f>SUM(F:F)</f>
        <v>2099369250</v>
      </c>
      <c r="J87" s="4">
        <f>SUM(E:E)</f>
        <v>8348167350</v>
      </c>
      <c r="K87">
        <f>SUM(C:C)</f>
        <v>1017885</v>
      </c>
      <c r="L87">
        <f>MONTH(G:G)</f>
        <v>5</v>
      </c>
      <c r="M87">
        <f>YEAR(G:G)</f>
        <v>2024</v>
      </c>
    </row>
    <row r="88" spans="1:13" x14ac:dyDescent="0.25">
      <c r="A88" s="1" t="s">
        <v>22</v>
      </c>
      <c r="B88" s="1" t="s">
        <v>17</v>
      </c>
      <c r="C88">
        <v>2219</v>
      </c>
      <c r="D88">
        <v>33285000</v>
      </c>
      <c r="E88">
        <v>24409000</v>
      </c>
      <c r="F88">
        <v>8876000</v>
      </c>
      <c r="G88" s="2">
        <v>45427</v>
      </c>
      <c r="H88" s="3">
        <f>SUM(D:D)</f>
        <v>10447536600</v>
      </c>
      <c r="I88" s="4">
        <f>SUM(F:F)</f>
        <v>2099369250</v>
      </c>
      <c r="J88" s="4">
        <f>SUM(E:E)</f>
        <v>8348167350</v>
      </c>
      <c r="K88">
        <f>SUM(C:C)</f>
        <v>1017885</v>
      </c>
      <c r="L88">
        <f>MONTH(G:G)</f>
        <v>5</v>
      </c>
      <c r="M88">
        <f>YEAR(G:G)</f>
        <v>2024</v>
      </c>
    </row>
    <row r="89" spans="1:13" x14ac:dyDescent="0.25">
      <c r="A89" s="1" t="s">
        <v>15</v>
      </c>
      <c r="B89" s="1" t="s">
        <v>17</v>
      </c>
      <c r="C89">
        <v>155</v>
      </c>
      <c r="D89">
        <v>2325000</v>
      </c>
      <c r="E89">
        <v>1705000</v>
      </c>
      <c r="F89">
        <v>620000</v>
      </c>
      <c r="G89" s="2">
        <v>45420</v>
      </c>
      <c r="H89" s="3">
        <f>SUM(D:D)</f>
        <v>10447536600</v>
      </c>
      <c r="I89" s="4">
        <f>SUM(F:F)</f>
        <v>2099369250</v>
      </c>
      <c r="J89" s="4">
        <f>SUM(E:E)</f>
        <v>8348167350</v>
      </c>
      <c r="K89">
        <f>SUM(C:C)</f>
        <v>1017885</v>
      </c>
      <c r="L89">
        <f>MONTH(G:G)</f>
        <v>5</v>
      </c>
      <c r="M89">
        <f>YEAR(G:G)</f>
        <v>2024</v>
      </c>
    </row>
    <row r="90" spans="1:13" x14ac:dyDescent="0.25">
      <c r="A90" s="1" t="s">
        <v>22</v>
      </c>
      <c r="B90" s="1" t="s">
        <v>8</v>
      </c>
      <c r="C90">
        <v>949</v>
      </c>
      <c r="D90">
        <v>2847000</v>
      </c>
      <c r="E90">
        <v>1708200</v>
      </c>
      <c r="F90">
        <v>1138800</v>
      </c>
      <c r="G90" s="2">
        <v>45423</v>
      </c>
      <c r="H90" s="3">
        <f>SUM(D:D)</f>
        <v>10447536600</v>
      </c>
      <c r="I90" s="4">
        <f>SUM(F:F)</f>
        <v>2099369250</v>
      </c>
      <c r="J90" s="4">
        <f>SUM(E:E)</f>
        <v>8348167350</v>
      </c>
      <c r="K90">
        <f>SUM(C:C)</f>
        <v>1017885</v>
      </c>
      <c r="L90">
        <f>MONTH(G:G)</f>
        <v>5</v>
      </c>
      <c r="M90">
        <f>YEAR(G:G)</f>
        <v>2024</v>
      </c>
    </row>
    <row r="91" spans="1:13" x14ac:dyDescent="0.25">
      <c r="A91" s="1" t="s">
        <v>15</v>
      </c>
      <c r="B91" s="1" t="s">
        <v>8</v>
      </c>
      <c r="C91">
        <v>2675</v>
      </c>
      <c r="D91">
        <v>8025000</v>
      </c>
      <c r="E91">
        <v>4815000</v>
      </c>
      <c r="F91">
        <v>3210000</v>
      </c>
      <c r="G91" s="2">
        <v>45415</v>
      </c>
      <c r="H91" s="3">
        <f>SUM(D:D)</f>
        <v>10447536600</v>
      </c>
      <c r="I91" s="4">
        <f>SUM(F:F)</f>
        <v>2099369250</v>
      </c>
      <c r="J91" s="4">
        <f>SUM(E:E)</f>
        <v>8348167350</v>
      </c>
      <c r="K91">
        <f>SUM(C:C)</f>
        <v>1017885</v>
      </c>
      <c r="L91">
        <f>MONTH(G:G)</f>
        <v>5</v>
      </c>
      <c r="M91">
        <f>YEAR(G:G)</f>
        <v>2024</v>
      </c>
    </row>
    <row r="92" spans="1:13" x14ac:dyDescent="0.25">
      <c r="A92" s="1" t="s">
        <v>7</v>
      </c>
      <c r="B92" s="1" t="s">
        <v>8</v>
      </c>
      <c r="C92">
        <v>1491</v>
      </c>
      <c r="D92">
        <v>4473000</v>
      </c>
      <c r="E92">
        <v>2683800</v>
      </c>
      <c r="F92">
        <v>1789200</v>
      </c>
      <c r="G92" s="2">
        <v>45428</v>
      </c>
      <c r="H92" s="3">
        <f>SUM(D:D)</f>
        <v>10447536600</v>
      </c>
      <c r="I92" s="4">
        <f>SUM(F:F)</f>
        <v>2099369250</v>
      </c>
      <c r="J92" s="4">
        <f>SUM(E:E)</f>
        <v>8348167350</v>
      </c>
      <c r="K92">
        <f>SUM(C:C)</f>
        <v>1017885</v>
      </c>
      <c r="L92">
        <f>MONTH(G:G)</f>
        <v>5</v>
      </c>
      <c r="M92">
        <f>YEAR(G:G)</f>
        <v>2024</v>
      </c>
    </row>
    <row r="93" spans="1:13" x14ac:dyDescent="0.25">
      <c r="A93" s="1" t="s">
        <v>9</v>
      </c>
      <c r="B93" s="1" t="s">
        <v>8</v>
      </c>
      <c r="C93">
        <v>1444</v>
      </c>
      <c r="D93">
        <v>4332000</v>
      </c>
      <c r="E93">
        <v>2599200</v>
      </c>
      <c r="F93">
        <v>1732800</v>
      </c>
      <c r="G93" s="2">
        <v>45429</v>
      </c>
      <c r="H93" s="3">
        <f>SUM(D:D)</f>
        <v>10447536600</v>
      </c>
      <c r="I93" s="4">
        <f>SUM(F:F)</f>
        <v>2099369250</v>
      </c>
      <c r="J93" s="4">
        <f>SUM(E:E)</f>
        <v>8348167350</v>
      </c>
      <c r="K93">
        <f>SUM(C:C)</f>
        <v>1017885</v>
      </c>
      <c r="L93">
        <f>MONTH(G:G)</f>
        <v>5</v>
      </c>
      <c r="M93">
        <f>YEAR(G:G)</f>
        <v>2024</v>
      </c>
    </row>
    <row r="94" spans="1:13" x14ac:dyDescent="0.25">
      <c r="A94" s="1" t="s">
        <v>21</v>
      </c>
      <c r="B94" s="1" t="s">
        <v>19</v>
      </c>
      <c r="C94">
        <v>1330</v>
      </c>
      <c r="D94">
        <v>59850000</v>
      </c>
      <c r="E94">
        <v>50540000</v>
      </c>
      <c r="F94">
        <v>9310000</v>
      </c>
      <c r="G94" s="2">
        <v>45433</v>
      </c>
      <c r="H94" s="3">
        <f>SUM(D:D)</f>
        <v>10447536600</v>
      </c>
      <c r="I94" s="4">
        <f>SUM(F:F)</f>
        <v>2099369250</v>
      </c>
      <c r="J94" s="4">
        <f>SUM(E:E)</f>
        <v>8348167350</v>
      </c>
      <c r="K94">
        <f>SUM(C:C)</f>
        <v>1017885</v>
      </c>
      <c r="L94">
        <f>MONTH(G:G)</f>
        <v>5</v>
      </c>
      <c r="M94">
        <f>YEAR(G:G)</f>
        <v>2024</v>
      </c>
    </row>
    <row r="95" spans="1:13" x14ac:dyDescent="0.25">
      <c r="A95" s="1" t="s">
        <v>22</v>
      </c>
      <c r="B95" s="1" t="s">
        <v>19</v>
      </c>
      <c r="C95">
        <v>2691</v>
      </c>
      <c r="D95">
        <v>121095000</v>
      </c>
      <c r="E95">
        <v>102258000</v>
      </c>
      <c r="F95">
        <v>18837000</v>
      </c>
      <c r="G95" s="2">
        <v>45450</v>
      </c>
      <c r="H95" s="3">
        <f>SUM(D:D)</f>
        <v>10447536600</v>
      </c>
      <c r="I95" s="4">
        <f>SUM(F:F)</f>
        <v>2099369250</v>
      </c>
      <c r="J95" s="4">
        <f>SUM(E:E)</f>
        <v>8348167350</v>
      </c>
      <c r="K95">
        <f>SUM(C:C)</f>
        <v>1017885</v>
      </c>
      <c r="L95">
        <f>MONTH(G:G)</f>
        <v>6</v>
      </c>
      <c r="M95">
        <f>YEAR(G:G)</f>
        <v>2024</v>
      </c>
    </row>
    <row r="96" spans="1:13" x14ac:dyDescent="0.25">
      <c r="A96" s="1" t="s">
        <v>20</v>
      </c>
      <c r="B96" s="1" t="s">
        <v>23</v>
      </c>
      <c r="C96">
        <v>2158</v>
      </c>
      <c r="D96">
        <v>10790000</v>
      </c>
      <c r="E96">
        <v>9063600</v>
      </c>
      <c r="F96">
        <v>1726400</v>
      </c>
      <c r="G96" s="2">
        <v>45451</v>
      </c>
      <c r="H96" s="3">
        <f>SUM(D:D)</f>
        <v>10447536600</v>
      </c>
      <c r="I96" s="4">
        <f>SUM(F:F)</f>
        <v>2099369250</v>
      </c>
      <c r="J96" s="4">
        <f>SUM(E:E)</f>
        <v>8348167350</v>
      </c>
      <c r="K96">
        <f>SUM(C:C)</f>
        <v>1017885</v>
      </c>
      <c r="L96">
        <f>MONTH(G:G)</f>
        <v>6</v>
      </c>
      <c r="M96">
        <f>YEAR(G:G)</f>
        <v>2024</v>
      </c>
    </row>
    <row r="97" spans="1:13" x14ac:dyDescent="0.25">
      <c r="A97" s="1" t="s">
        <v>9</v>
      </c>
      <c r="B97" s="1" t="s">
        <v>14</v>
      </c>
      <c r="C97">
        <v>367</v>
      </c>
      <c r="D97">
        <v>440400</v>
      </c>
      <c r="E97">
        <v>293600</v>
      </c>
      <c r="F97">
        <v>146800</v>
      </c>
      <c r="G97" s="2">
        <v>45455</v>
      </c>
      <c r="H97" s="3">
        <f>SUM(D:D)</f>
        <v>10447536600</v>
      </c>
      <c r="I97" s="4">
        <f>SUM(F:F)</f>
        <v>2099369250</v>
      </c>
      <c r="J97" s="4">
        <f>SUM(E:E)</f>
        <v>8348167350</v>
      </c>
      <c r="K97">
        <f>SUM(C:C)</f>
        <v>1017885</v>
      </c>
      <c r="L97">
        <f>MONTH(G:G)</f>
        <v>6</v>
      </c>
      <c r="M97">
        <f>YEAR(G:G)</f>
        <v>2024</v>
      </c>
    </row>
    <row r="98" spans="1:13" x14ac:dyDescent="0.25">
      <c r="A98" s="1" t="s">
        <v>16</v>
      </c>
      <c r="B98" s="1" t="s">
        <v>14</v>
      </c>
      <c r="C98">
        <v>1057</v>
      </c>
      <c r="D98">
        <v>1268400</v>
      </c>
      <c r="E98">
        <v>845600</v>
      </c>
      <c r="F98">
        <v>422800</v>
      </c>
      <c r="G98" s="2">
        <v>45446</v>
      </c>
      <c r="H98" s="3">
        <f>SUM(D:D)</f>
        <v>10447536600</v>
      </c>
      <c r="I98" s="4">
        <f>SUM(F:F)</f>
        <v>2099369250</v>
      </c>
      <c r="J98" s="4">
        <f>SUM(E:E)</f>
        <v>8348167350</v>
      </c>
      <c r="K98">
        <f>SUM(C:C)</f>
        <v>1017885</v>
      </c>
      <c r="L98">
        <f>MONTH(G:G)</f>
        <v>6</v>
      </c>
      <c r="M98">
        <f>YEAR(G:G)</f>
        <v>2024</v>
      </c>
    </row>
    <row r="99" spans="1:13" x14ac:dyDescent="0.25">
      <c r="A99" s="1" t="s">
        <v>22</v>
      </c>
      <c r="B99" s="1" t="s">
        <v>10</v>
      </c>
      <c r="C99">
        <v>780</v>
      </c>
      <c r="D99">
        <v>2730000</v>
      </c>
      <c r="E99">
        <v>2028000</v>
      </c>
      <c r="F99">
        <v>702000</v>
      </c>
      <c r="G99" s="2">
        <v>45464</v>
      </c>
      <c r="H99" s="3">
        <f>SUM(D:D)</f>
        <v>10447536600</v>
      </c>
      <c r="I99" s="4">
        <f>SUM(F:F)</f>
        <v>2099369250</v>
      </c>
      <c r="J99" s="4">
        <f>SUM(E:E)</f>
        <v>8348167350</v>
      </c>
      <c r="K99">
        <f>SUM(C:C)</f>
        <v>1017885</v>
      </c>
      <c r="L99">
        <f>MONTH(G:G)</f>
        <v>6</v>
      </c>
      <c r="M99">
        <f>YEAR(G:G)</f>
        <v>2024</v>
      </c>
    </row>
    <row r="100" spans="1:13" x14ac:dyDescent="0.25">
      <c r="A100" s="1" t="s">
        <v>7</v>
      </c>
      <c r="B100" s="1" t="s">
        <v>17</v>
      </c>
      <c r="C100">
        <v>1090</v>
      </c>
      <c r="D100">
        <v>16350000</v>
      </c>
      <c r="E100">
        <v>11990000</v>
      </c>
      <c r="F100">
        <v>4360000</v>
      </c>
      <c r="G100" s="2">
        <v>45455</v>
      </c>
      <c r="H100" s="3">
        <f>SUM(D:D)</f>
        <v>10447536600</v>
      </c>
      <c r="I100" s="4">
        <f>SUM(F:F)</f>
        <v>2099369250</v>
      </c>
      <c r="J100" s="4">
        <f>SUM(E:E)</f>
        <v>8348167350</v>
      </c>
      <c r="K100">
        <f>SUM(C:C)</f>
        <v>1017885</v>
      </c>
      <c r="L100">
        <f>MONTH(G:G)</f>
        <v>6</v>
      </c>
      <c r="M100">
        <f>YEAR(G:G)</f>
        <v>2024</v>
      </c>
    </row>
    <row r="101" spans="1:13" x14ac:dyDescent="0.25">
      <c r="A101" s="1" t="s">
        <v>18</v>
      </c>
      <c r="B101" s="1" t="s">
        <v>14</v>
      </c>
      <c r="C101">
        <v>1609</v>
      </c>
      <c r="D101">
        <v>1930800</v>
      </c>
      <c r="E101">
        <v>1287200</v>
      </c>
      <c r="F101">
        <v>643600</v>
      </c>
      <c r="G101" s="2">
        <v>45460</v>
      </c>
      <c r="H101" s="3">
        <f>SUM(D:D)</f>
        <v>10447536600</v>
      </c>
      <c r="I101" s="4">
        <f>SUM(F:F)</f>
        <v>2099369250</v>
      </c>
      <c r="J101" s="4">
        <f>SUM(E:E)</f>
        <v>8348167350</v>
      </c>
      <c r="K101">
        <f>SUM(C:C)</f>
        <v>1017885</v>
      </c>
      <c r="L101">
        <f>MONTH(G:G)</f>
        <v>6</v>
      </c>
      <c r="M101">
        <f>YEAR(G:G)</f>
        <v>2024</v>
      </c>
    </row>
    <row r="102" spans="1:13" x14ac:dyDescent="0.25">
      <c r="A102" s="1" t="s">
        <v>13</v>
      </c>
      <c r="B102" s="1" t="s">
        <v>8</v>
      </c>
      <c r="C102">
        <v>1066</v>
      </c>
      <c r="D102">
        <v>3198000</v>
      </c>
      <c r="E102">
        <v>1918800</v>
      </c>
      <c r="F102">
        <v>1279200</v>
      </c>
      <c r="G102" s="2">
        <v>45451</v>
      </c>
      <c r="H102" s="3">
        <f>SUM(D:D)</f>
        <v>10447536600</v>
      </c>
      <c r="I102" s="4">
        <f>SUM(F:F)</f>
        <v>2099369250</v>
      </c>
      <c r="J102" s="4">
        <f>SUM(E:E)</f>
        <v>8348167350</v>
      </c>
      <c r="K102">
        <f>SUM(C:C)</f>
        <v>1017885</v>
      </c>
      <c r="L102">
        <f>MONTH(G:G)</f>
        <v>6</v>
      </c>
      <c r="M102">
        <f>YEAR(G:G)</f>
        <v>2024</v>
      </c>
    </row>
    <row r="103" spans="1:13" x14ac:dyDescent="0.25">
      <c r="A103" s="1" t="s">
        <v>20</v>
      </c>
      <c r="B103" s="1" t="s">
        <v>10</v>
      </c>
      <c r="C103">
        <v>1132</v>
      </c>
      <c r="D103">
        <v>3962000</v>
      </c>
      <c r="E103">
        <v>2943200</v>
      </c>
      <c r="F103">
        <v>1018800</v>
      </c>
      <c r="G103" s="2">
        <v>45453</v>
      </c>
      <c r="H103" s="3">
        <f>SUM(D:D)</f>
        <v>10447536600</v>
      </c>
      <c r="I103" s="4">
        <f>SUM(F:F)</f>
        <v>2099369250</v>
      </c>
      <c r="J103" s="4">
        <f>SUM(E:E)</f>
        <v>8348167350</v>
      </c>
      <c r="K103">
        <f>SUM(C:C)</f>
        <v>1017885</v>
      </c>
      <c r="L103">
        <f>MONTH(G:G)</f>
        <v>6</v>
      </c>
      <c r="M103">
        <f>YEAR(G:G)</f>
        <v>2024</v>
      </c>
    </row>
    <row r="104" spans="1:13" x14ac:dyDescent="0.25">
      <c r="A104" s="1" t="s">
        <v>15</v>
      </c>
      <c r="B104" s="1" t="s">
        <v>19</v>
      </c>
      <c r="C104">
        <v>804</v>
      </c>
      <c r="D104">
        <v>36180000</v>
      </c>
      <c r="E104">
        <v>30552000</v>
      </c>
      <c r="F104">
        <v>5628000</v>
      </c>
      <c r="G104" s="2">
        <v>45450</v>
      </c>
      <c r="H104" s="3">
        <f>SUM(D:D)</f>
        <v>10447536600</v>
      </c>
      <c r="I104" s="4">
        <f>SUM(F:F)</f>
        <v>2099369250</v>
      </c>
      <c r="J104" s="4">
        <f>SUM(E:E)</f>
        <v>8348167350</v>
      </c>
      <c r="K104">
        <f>SUM(C:C)</f>
        <v>1017885</v>
      </c>
      <c r="L104">
        <f>MONTH(G:G)</f>
        <v>6</v>
      </c>
      <c r="M104">
        <f>YEAR(G:G)</f>
        <v>2024</v>
      </c>
    </row>
    <row r="105" spans="1:13" x14ac:dyDescent="0.25">
      <c r="A105" s="1" t="s">
        <v>9</v>
      </c>
      <c r="B105" s="1" t="s">
        <v>14</v>
      </c>
      <c r="C105">
        <v>2249</v>
      </c>
      <c r="D105">
        <v>2698800</v>
      </c>
      <c r="E105">
        <v>1799200</v>
      </c>
      <c r="F105">
        <v>899600</v>
      </c>
      <c r="G105" s="2">
        <v>45452</v>
      </c>
      <c r="H105" s="3">
        <f>SUM(D:D)</f>
        <v>10447536600</v>
      </c>
      <c r="I105" s="4">
        <f>SUM(F:F)</f>
        <v>2099369250</v>
      </c>
      <c r="J105" s="4">
        <f>SUM(E:E)</f>
        <v>8348167350</v>
      </c>
      <c r="K105">
        <f>SUM(C:C)</f>
        <v>1017885</v>
      </c>
      <c r="L105">
        <f>MONTH(G:G)</f>
        <v>6</v>
      </c>
      <c r="M105">
        <f>YEAR(G:G)</f>
        <v>2024</v>
      </c>
    </row>
    <row r="106" spans="1:13" x14ac:dyDescent="0.25">
      <c r="A106" s="1" t="s">
        <v>22</v>
      </c>
      <c r="B106" s="1" t="s">
        <v>14</v>
      </c>
      <c r="C106">
        <v>2090</v>
      </c>
      <c r="D106">
        <v>2508000</v>
      </c>
      <c r="E106">
        <v>1672000</v>
      </c>
      <c r="F106">
        <v>836000</v>
      </c>
      <c r="G106" s="2">
        <v>45454</v>
      </c>
      <c r="H106" s="3">
        <f>SUM(D:D)</f>
        <v>10447536600</v>
      </c>
      <c r="I106" s="4">
        <f>SUM(F:F)</f>
        <v>2099369250</v>
      </c>
      <c r="J106" s="4">
        <f>SUM(E:E)</f>
        <v>8348167350</v>
      </c>
      <c r="K106">
        <f>SUM(C:C)</f>
        <v>1017885</v>
      </c>
      <c r="L106">
        <f>MONTH(G:G)</f>
        <v>6</v>
      </c>
      <c r="M106">
        <f>YEAR(G:G)</f>
        <v>2024</v>
      </c>
    </row>
    <row r="107" spans="1:13" x14ac:dyDescent="0.25">
      <c r="A107" s="1" t="s">
        <v>13</v>
      </c>
      <c r="B107" s="1" t="s">
        <v>14</v>
      </c>
      <c r="C107">
        <v>2230</v>
      </c>
      <c r="D107">
        <v>2676000</v>
      </c>
      <c r="E107">
        <v>1784000</v>
      </c>
      <c r="F107">
        <v>892000</v>
      </c>
      <c r="G107" s="2">
        <v>45456</v>
      </c>
      <c r="H107" s="3">
        <f>SUM(D:D)</f>
        <v>10447536600</v>
      </c>
      <c r="I107" s="4">
        <f>SUM(F:F)</f>
        <v>2099369250</v>
      </c>
      <c r="J107" s="4">
        <f>SUM(E:E)</f>
        <v>8348167350</v>
      </c>
      <c r="K107">
        <f>SUM(C:C)</f>
        <v>1017885</v>
      </c>
      <c r="L107">
        <f>MONTH(G:G)</f>
        <v>6</v>
      </c>
      <c r="M107">
        <f>YEAR(G:G)</f>
        <v>2024</v>
      </c>
    </row>
    <row r="108" spans="1:13" x14ac:dyDescent="0.25">
      <c r="A108" s="1" t="s">
        <v>11</v>
      </c>
      <c r="B108" s="1" t="s">
        <v>10</v>
      </c>
      <c r="C108">
        <v>2784</v>
      </c>
      <c r="D108">
        <v>9744000</v>
      </c>
      <c r="E108">
        <v>7238400</v>
      </c>
      <c r="F108">
        <v>2505600</v>
      </c>
      <c r="G108" s="2">
        <v>45452</v>
      </c>
      <c r="H108" s="3">
        <f>SUM(D:D)</f>
        <v>10447536600</v>
      </c>
      <c r="I108" s="4">
        <f>SUM(F:F)</f>
        <v>2099369250</v>
      </c>
      <c r="J108" s="4">
        <f>SUM(E:E)</f>
        <v>8348167350</v>
      </c>
      <c r="K108">
        <f>SUM(C:C)</f>
        <v>1017885</v>
      </c>
      <c r="L108">
        <f>MONTH(G:G)</f>
        <v>6</v>
      </c>
      <c r="M108">
        <f>YEAR(G:G)</f>
        <v>2024</v>
      </c>
    </row>
    <row r="109" spans="1:13" x14ac:dyDescent="0.25">
      <c r="A109" s="1" t="s">
        <v>21</v>
      </c>
      <c r="B109" s="1" t="s">
        <v>10</v>
      </c>
      <c r="C109">
        <v>2431</v>
      </c>
      <c r="D109">
        <v>8508500</v>
      </c>
      <c r="E109">
        <v>6320600</v>
      </c>
      <c r="F109">
        <v>2187900</v>
      </c>
      <c r="G109" s="2">
        <v>45468</v>
      </c>
      <c r="H109" s="3">
        <f>SUM(D:D)</f>
        <v>10447536600</v>
      </c>
      <c r="I109" s="4">
        <f>SUM(F:F)</f>
        <v>2099369250</v>
      </c>
      <c r="J109" s="4">
        <f>SUM(E:E)</f>
        <v>8348167350</v>
      </c>
      <c r="K109">
        <f>SUM(C:C)</f>
        <v>1017885</v>
      </c>
      <c r="L109">
        <f>MONTH(G:G)</f>
        <v>6</v>
      </c>
      <c r="M109">
        <f>YEAR(G:G)</f>
        <v>2024</v>
      </c>
    </row>
    <row r="110" spans="1:13" x14ac:dyDescent="0.25">
      <c r="A110" s="1" t="s">
        <v>15</v>
      </c>
      <c r="B110" s="1" t="s">
        <v>12</v>
      </c>
      <c r="C110">
        <v>874</v>
      </c>
      <c r="D110">
        <v>1048800</v>
      </c>
      <c r="E110">
        <v>742900</v>
      </c>
      <c r="F110">
        <v>305900</v>
      </c>
      <c r="G110" s="2">
        <v>45499</v>
      </c>
      <c r="H110" s="3">
        <f>SUM(D:D)</f>
        <v>10447536600</v>
      </c>
      <c r="I110" s="4">
        <f>SUM(F:F)</f>
        <v>2099369250</v>
      </c>
      <c r="J110" s="4">
        <f>SUM(E:E)</f>
        <v>8348167350</v>
      </c>
      <c r="K110">
        <f>SUM(C:C)</f>
        <v>1017885</v>
      </c>
      <c r="L110">
        <f>MONTH(G:G)</f>
        <v>7</v>
      </c>
      <c r="M110">
        <f>YEAR(G:G)</f>
        <v>2024</v>
      </c>
    </row>
    <row r="111" spans="1:13" x14ac:dyDescent="0.25">
      <c r="A111" s="1" t="s">
        <v>16</v>
      </c>
      <c r="B111" s="1" t="s">
        <v>19</v>
      </c>
      <c r="C111">
        <v>2062</v>
      </c>
      <c r="D111">
        <v>92790000</v>
      </c>
      <c r="E111">
        <v>78356000</v>
      </c>
      <c r="F111">
        <v>14434000</v>
      </c>
      <c r="G111" s="2">
        <v>45481</v>
      </c>
      <c r="H111" s="3">
        <f>SUM(D:D)</f>
        <v>10447536600</v>
      </c>
      <c r="I111" s="4">
        <f>SUM(F:F)</f>
        <v>2099369250</v>
      </c>
      <c r="J111" s="4">
        <f>SUM(E:E)</f>
        <v>8348167350</v>
      </c>
      <c r="K111">
        <f>SUM(C:C)</f>
        <v>1017885</v>
      </c>
      <c r="L111">
        <f>MONTH(G:G)</f>
        <v>7</v>
      </c>
      <c r="M111">
        <f>YEAR(G:G)</f>
        <v>2024</v>
      </c>
    </row>
    <row r="112" spans="1:13" x14ac:dyDescent="0.25">
      <c r="A112" s="1" t="s">
        <v>15</v>
      </c>
      <c r="B112" s="1" t="s">
        <v>19</v>
      </c>
      <c r="C112">
        <v>1269</v>
      </c>
      <c r="D112">
        <v>57105000</v>
      </c>
      <c r="E112">
        <v>48222000</v>
      </c>
      <c r="F112">
        <v>8883000</v>
      </c>
      <c r="G112" s="2">
        <v>45504</v>
      </c>
      <c r="H112" s="3">
        <f>SUM(D:D)</f>
        <v>10447536600</v>
      </c>
      <c r="I112" s="4">
        <f>SUM(F:F)</f>
        <v>2099369250</v>
      </c>
      <c r="J112" s="4">
        <f>SUM(E:E)</f>
        <v>8348167350</v>
      </c>
      <c r="K112">
        <f>SUM(C:C)</f>
        <v>1017885</v>
      </c>
      <c r="L112">
        <f>MONTH(G:G)</f>
        <v>7</v>
      </c>
      <c r="M112">
        <f>YEAR(G:G)</f>
        <v>2024</v>
      </c>
    </row>
    <row r="113" spans="1:13" x14ac:dyDescent="0.25">
      <c r="A113" s="1" t="s">
        <v>15</v>
      </c>
      <c r="B113" s="1" t="s">
        <v>14</v>
      </c>
      <c r="C113">
        <v>2307</v>
      </c>
      <c r="D113">
        <v>2768400</v>
      </c>
      <c r="E113">
        <v>1845600</v>
      </c>
      <c r="F113">
        <v>922800</v>
      </c>
      <c r="G113" s="2">
        <v>45474</v>
      </c>
      <c r="H113" s="3">
        <f>SUM(D:D)</f>
        <v>10447536600</v>
      </c>
      <c r="I113" s="4">
        <f>SUM(F:F)</f>
        <v>2099369250</v>
      </c>
      <c r="J113" s="4">
        <f>SUM(E:E)</f>
        <v>8348167350</v>
      </c>
      <c r="K113">
        <f>SUM(C:C)</f>
        <v>1017885</v>
      </c>
      <c r="L113">
        <f>MONTH(G:G)</f>
        <v>7</v>
      </c>
      <c r="M113">
        <f>YEAR(G:G)</f>
        <v>2024</v>
      </c>
    </row>
    <row r="114" spans="1:13" x14ac:dyDescent="0.25">
      <c r="A114" s="1" t="s">
        <v>16</v>
      </c>
      <c r="B114" s="1" t="s">
        <v>19</v>
      </c>
      <c r="C114">
        <v>956</v>
      </c>
      <c r="D114">
        <v>43020000</v>
      </c>
      <c r="E114">
        <v>36328000</v>
      </c>
      <c r="F114">
        <v>6692000</v>
      </c>
      <c r="G114" s="2">
        <v>45483</v>
      </c>
      <c r="H114" s="3">
        <f>SUM(D:D)</f>
        <v>10447536600</v>
      </c>
      <c r="I114" s="4">
        <f>SUM(F:F)</f>
        <v>2099369250</v>
      </c>
      <c r="J114" s="4">
        <f>SUM(E:E)</f>
        <v>8348167350</v>
      </c>
      <c r="K114">
        <f>SUM(C:C)</f>
        <v>1017885</v>
      </c>
      <c r="L114">
        <f>MONTH(G:G)</f>
        <v>7</v>
      </c>
      <c r="M114">
        <f>YEAR(G:G)</f>
        <v>2024</v>
      </c>
    </row>
    <row r="115" spans="1:13" x14ac:dyDescent="0.25">
      <c r="A115" s="1" t="s">
        <v>13</v>
      </c>
      <c r="B115" s="1" t="s">
        <v>10</v>
      </c>
      <c r="C115">
        <v>2981</v>
      </c>
      <c r="D115">
        <v>10433500</v>
      </c>
      <c r="E115">
        <v>7750600</v>
      </c>
      <c r="F115">
        <v>2682900</v>
      </c>
      <c r="G115" s="2">
        <v>45491</v>
      </c>
      <c r="H115" s="3">
        <f>SUM(D:D)</f>
        <v>10447536600</v>
      </c>
      <c r="I115" s="4">
        <f>SUM(F:F)</f>
        <v>2099369250</v>
      </c>
      <c r="J115" s="4">
        <f>SUM(E:E)</f>
        <v>8348167350</v>
      </c>
      <c r="K115">
        <f>SUM(C:C)</f>
        <v>1017885</v>
      </c>
      <c r="L115">
        <f>MONTH(G:G)</f>
        <v>7</v>
      </c>
      <c r="M115">
        <f>YEAR(G:G)</f>
        <v>2024</v>
      </c>
    </row>
    <row r="116" spans="1:13" x14ac:dyDescent="0.25">
      <c r="A116" s="1" t="s">
        <v>9</v>
      </c>
      <c r="B116" s="1" t="s">
        <v>12</v>
      </c>
      <c r="C116">
        <v>2831</v>
      </c>
      <c r="D116">
        <v>3397200</v>
      </c>
      <c r="E116">
        <v>2406350</v>
      </c>
      <c r="F116">
        <v>990850</v>
      </c>
      <c r="G116" s="2">
        <v>45481</v>
      </c>
      <c r="H116" s="3">
        <f>SUM(D:D)</f>
        <v>10447536600</v>
      </c>
      <c r="I116" s="4">
        <f>SUM(F:F)</f>
        <v>2099369250</v>
      </c>
      <c r="J116" s="4">
        <f>SUM(E:E)</f>
        <v>8348167350</v>
      </c>
      <c r="K116">
        <f>SUM(C:C)</f>
        <v>1017885</v>
      </c>
      <c r="L116">
        <f>MONTH(G:G)</f>
        <v>7</v>
      </c>
      <c r="M116">
        <f>YEAR(G:G)</f>
        <v>2024</v>
      </c>
    </row>
    <row r="117" spans="1:13" x14ac:dyDescent="0.25">
      <c r="A117" s="1" t="s">
        <v>9</v>
      </c>
      <c r="B117" s="1" t="s">
        <v>17</v>
      </c>
      <c r="C117">
        <v>444</v>
      </c>
      <c r="D117">
        <v>6660000</v>
      </c>
      <c r="E117">
        <v>4884000</v>
      </c>
      <c r="F117">
        <v>1776000</v>
      </c>
      <c r="G117" s="2">
        <v>45474</v>
      </c>
      <c r="H117" s="3">
        <f>SUM(D:D)</f>
        <v>10447536600</v>
      </c>
      <c r="I117" s="4">
        <f>SUM(F:F)</f>
        <v>2099369250</v>
      </c>
      <c r="J117" s="4">
        <f>SUM(E:E)</f>
        <v>8348167350</v>
      </c>
      <c r="K117">
        <f>SUM(C:C)</f>
        <v>1017885</v>
      </c>
      <c r="L117">
        <f>MONTH(G:G)</f>
        <v>7</v>
      </c>
      <c r="M117">
        <f>YEAR(G:G)</f>
        <v>2024</v>
      </c>
    </row>
    <row r="118" spans="1:13" x14ac:dyDescent="0.25">
      <c r="A118" s="1" t="s">
        <v>21</v>
      </c>
      <c r="B118" s="1" t="s">
        <v>23</v>
      </c>
      <c r="C118">
        <v>2498</v>
      </c>
      <c r="D118">
        <v>12490000</v>
      </c>
      <c r="E118">
        <v>10491600</v>
      </c>
      <c r="F118">
        <v>1998400</v>
      </c>
      <c r="G118" s="2">
        <v>45494</v>
      </c>
      <c r="H118" s="3">
        <f>SUM(D:D)</f>
        <v>10447536600</v>
      </c>
      <c r="I118" s="4">
        <f>SUM(F:F)</f>
        <v>2099369250</v>
      </c>
      <c r="J118" s="4">
        <f>SUM(E:E)</f>
        <v>8348167350</v>
      </c>
      <c r="K118">
        <f>SUM(C:C)</f>
        <v>1017885</v>
      </c>
      <c r="L118">
        <f>MONTH(G:G)</f>
        <v>7</v>
      </c>
      <c r="M118">
        <f>YEAR(G:G)</f>
        <v>2024</v>
      </c>
    </row>
    <row r="119" spans="1:13" x14ac:dyDescent="0.25">
      <c r="A119" s="1" t="s">
        <v>15</v>
      </c>
      <c r="B119" s="1" t="s">
        <v>14</v>
      </c>
      <c r="C119">
        <v>763</v>
      </c>
      <c r="D119">
        <v>915600</v>
      </c>
      <c r="E119">
        <v>610400</v>
      </c>
      <c r="F119">
        <v>305200</v>
      </c>
      <c r="G119" s="2">
        <v>45504</v>
      </c>
      <c r="H119" s="3">
        <f>SUM(D:D)</f>
        <v>10447536600</v>
      </c>
      <c r="I119" s="4">
        <f>SUM(F:F)</f>
        <v>2099369250</v>
      </c>
      <c r="J119" s="4">
        <f>SUM(E:E)</f>
        <v>8348167350</v>
      </c>
      <c r="K119">
        <f>SUM(C:C)</f>
        <v>1017885</v>
      </c>
      <c r="L119">
        <f>MONTH(G:G)</f>
        <v>7</v>
      </c>
      <c r="M119">
        <f>YEAR(G:G)</f>
        <v>2024</v>
      </c>
    </row>
    <row r="120" spans="1:13" x14ac:dyDescent="0.25">
      <c r="A120" s="1" t="s">
        <v>21</v>
      </c>
      <c r="B120" s="1" t="s">
        <v>12</v>
      </c>
      <c r="C120">
        <v>160</v>
      </c>
      <c r="D120">
        <v>192000</v>
      </c>
      <c r="E120">
        <v>136000</v>
      </c>
      <c r="F120">
        <v>56000</v>
      </c>
      <c r="G120" s="2">
        <v>45500</v>
      </c>
      <c r="H120" s="3">
        <f>SUM(D:D)</f>
        <v>10447536600</v>
      </c>
      <c r="I120" s="4">
        <f>SUM(F:F)</f>
        <v>2099369250</v>
      </c>
      <c r="J120" s="4">
        <f>SUM(E:E)</f>
        <v>8348167350</v>
      </c>
      <c r="K120">
        <f>SUM(C:C)</f>
        <v>1017885</v>
      </c>
      <c r="L120">
        <f>MONTH(G:G)</f>
        <v>7</v>
      </c>
      <c r="M120">
        <f>YEAR(G:G)</f>
        <v>2024</v>
      </c>
    </row>
    <row r="121" spans="1:13" x14ac:dyDescent="0.25">
      <c r="A121" s="1" t="s">
        <v>13</v>
      </c>
      <c r="B121" s="1" t="s">
        <v>17</v>
      </c>
      <c r="C121">
        <v>1020</v>
      </c>
      <c r="D121">
        <v>15300000</v>
      </c>
      <c r="E121">
        <v>11220000</v>
      </c>
      <c r="F121">
        <v>4080000</v>
      </c>
      <c r="G121" s="2">
        <v>45493</v>
      </c>
      <c r="H121" s="3">
        <f>SUM(D:D)</f>
        <v>10447536600</v>
      </c>
      <c r="I121" s="4">
        <f>SUM(F:F)</f>
        <v>2099369250</v>
      </c>
      <c r="J121" s="4">
        <f>SUM(E:E)</f>
        <v>8348167350</v>
      </c>
      <c r="K121">
        <f>SUM(C:C)</f>
        <v>1017885</v>
      </c>
      <c r="L121">
        <f>MONTH(G:G)</f>
        <v>7</v>
      </c>
      <c r="M121">
        <f>YEAR(G:G)</f>
        <v>2024</v>
      </c>
    </row>
    <row r="122" spans="1:13" x14ac:dyDescent="0.25">
      <c r="A122" s="1" t="s">
        <v>9</v>
      </c>
      <c r="B122" s="1" t="s">
        <v>10</v>
      </c>
      <c r="C122">
        <v>1374</v>
      </c>
      <c r="D122">
        <v>4809000</v>
      </c>
      <c r="E122">
        <v>3572400</v>
      </c>
      <c r="F122">
        <v>1236600</v>
      </c>
      <c r="G122" s="2">
        <v>45479</v>
      </c>
      <c r="H122" s="3">
        <f>SUM(D:D)</f>
        <v>10447536600</v>
      </c>
      <c r="I122" s="4">
        <f>SUM(F:F)</f>
        <v>2099369250</v>
      </c>
      <c r="J122" s="4">
        <f>SUM(E:E)</f>
        <v>8348167350</v>
      </c>
      <c r="K122">
        <f>SUM(C:C)</f>
        <v>1017885</v>
      </c>
      <c r="L122">
        <f>MONTH(G:G)</f>
        <v>7</v>
      </c>
      <c r="M122">
        <f>YEAR(G:G)</f>
        <v>2024</v>
      </c>
    </row>
    <row r="123" spans="1:13" x14ac:dyDescent="0.25">
      <c r="A123" s="1" t="s">
        <v>18</v>
      </c>
      <c r="B123" s="1" t="s">
        <v>10</v>
      </c>
      <c r="C123">
        <v>2190</v>
      </c>
      <c r="D123">
        <v>7665000</v>
      </c>
      <c r="E123">
        <v>5694000</v>
      </c>
      <c r="F123">
        <v>1971000</v>
      </c>
      <c r="G123" s="2">
        <v>45502</v>
      </c>
      <c r="H123" s="3">
        <f>SUM(D:D)</f>
        <v>10447536600</v>
      </c>
      <c r="I123" s="4">
        <f>SUM(F:F)</f>
        <v>2099369250</v>
      </c>
      <c r="J123" s="4">
        <f>SUM(E:E)</f>
        <v>8348167350</v>
      </c>
      <c r="K123">
        <f>SUM(C:C)</f>
        <v>1017885</v>
      </c>
      <c r="L123">
        <f>MONTH(G:G)</f>
        <v>7</v>
      </c>
      <c r="M123">
        <f>YEAR(G:G)</f>
        <v>2024</v>
      </c>
    </row>
    <row r="124" spans="1:13" x14ac:dyDescent="0.25">
      <c r="A124" s="1" t="s">
        <v>18</v>
      </c>
      <c r="B124" s="1" t="s">
        <v>14</v>
      </c>
      <c r="C124">
        <v>1006</v>
      </c>
      <c r="D124">
        <v>1207200</v>
      </c>
      <c r="E124">
        <v>804800</v>
      </c>
      <c r="F124">
        <v>402400</v>
      </c>
      <c r="G124" s="2">
        <v>45474</v>
      </c>
      <c r="H124" s="3">
        <f>SUM(D:D)</f>
        <v>10447536600</v>
      </c>
      <c r="I124" s="4">
        <f>SUM(F:F)</f>
        <v>2099369250</v>
      </c>
      <c r="J124" s="4">
        <f>SUM(E:E)</f>
        <v>8348167350</v>
      </c>
      <c r="K124">
        <f>SUM(C:C)</f>
        <v>1017885</v>
      </c>
      <c r="L124">
        <f>MONTH(G:G)</f>
        <v>7</v>
      </c>
      <c r="M124">
        <f>YEAR(G:G)</f>
        <v>2024</v>
      </c>
    </row>
    <row r="125" spans="1:13" x14ac:dyDescent="0.25">
      <c r="A125" s="1" t="s">
        <v>18</v>
      </c>
      <c r="B125" s="1" t="s">
        <v>23</v>
      </c>
      <c r="C125">
        <v>657</v>
      </c>
      <c r="D125">
        <v>3285000</v>
      </c>
      <c r="E125">
        <v>2759400</v>
      </c>
      <c r="F125">
        <v>525600</v>
      </c>
      <c r="G125" s="2">
        <v>45489</v>
      </c>
      <c r="H125" s="3">
        <f>SUM(D:D)</f>
        <v>10447536600</v>
      </c>
      <c r="I125" s="4">
        <f>SUM(F:F)</f>
        <v>2099369250</v>
      </c>
      <c r="J125" s="4">
        <f>SUM(E:E)</f>
        <v>8348167350</v>
      </c>
      <c r="K125">
        <f>SUM(C:C)</f>
        <v>1017885</v>
      </c>
      <c r="L125">
        <f>MONTH(G:G)</f>
        <v>7</v>
      </c>
      <c r="M125">
        <f>YEAR(G:G)</f>
        <v>2024</v>
      </c>
    </row>
    <row r="126" spans="1:13" x14ac:dyDescent="0.25">
      <c r="A126" s="1" t="s">
        <v>20</v>
      </c>
      <c r="B126" s="1" t="s">
        <v>19</v>
      </c>
      <c r="C126">
        <v>430</v>
      </c>
      <c r="D126">
        <v>19350000</v>
      </c>
      <c r="E126">
        <v>16340000</v>
      </c>
      <c r="F126">
        <v>3010000</v>
      </c>
      <c r="G126" s="2">
        <v>45479</v>
      </c>
      <c r="H126" s="3">
        <f>SUM(D:D)</f>
        <v>10447536600</v>
      </c>
      <c r="I126" s="4">
        <f>SUM(F:F)</f>
        <v>2099369250</v>
      </c>
      <c r="J126" s="4">
        <f>SUM(E:E)</f>
        <v>8348167350</v>
      </c>
      <c r="K126">
        <f>SUM(C:C)</f>
        <v>1017885</v>
      </c>
      <c r="L126">
        <f>MONTH(G:G)</f>
        <v>7</v>
      </c>
      <c r="M126">
        <f>YEAR(G:G)</f>
        <v>2024</v>
      </c>
    </row>
    <row r="127" spans="1:13" x14ac:dyDescent="0.25">
      <c r="A127" s="1" t="s">
        <v>11</v>
      </c>
      <c r="B127" s="1" t="s">
        <v>23</v>
      </c>
      <c r="C127">
        <v>310</v>
      </c>
      <c r="D127">
        <v>1550000</v>
      </c>
      <c r="E127">
        <v>1302000</v>
      </c>
      <c r="F127">
        <v>248000</v>
      </c>
      <c r="G127" s="2">
        <v>45496</v>
      </c>
      <c r="H127" s="3">
        <f>SUM(D:D)</f>
        <v>10447536600</v>
      </c>
      <c r="I127" s="4">
        <f>SUM(F:F)</f>
        <v>2099369250</v>
      </c>
      <c r="J127" s="4">
        <f>SUM(E:E)</f>
        <v>8348167350</v>
      </c>
      <c r="K127">
        <f>SUM(C:C)</f>
        <v>1017885</v>
      </c>
      <c r="L127">
        <f>MONTH(G:G)</f>
        <v>7</v>
      </c>
      <c r="M127">
        <f>YEAR(G:G)</f>
        <v>2024</v>
      </c>
    </row>
    <row r="128" spans="1:13" x14ac:dyDescent="0.25">
      <c r="A128" s="1" t="s">
        <v>11</v>
      </c>
      <c r="B128" s="1" t="s">
        <v>17</v>
      </c>
      <c r="C128">
        <v>2384</v>
      </c>
      <c r="D128">
        <v>35760000</v>
      </c>
      <c r="E128">
        <v>26224000</v>
      </c>
      <c r="F128">
        <v>9536000</v>
      </c>
      <c r="G128" s="2">
        <v>45487</v>
      </c>
      <c r="H128" s="3">
        <f>SUM(D:D)</f>
        <v>10447536600</v>
      </c>
      <c r="I128" s="4">
        <f>SUM(F:F)</f>
        <v>2099369250</v>
      </c>
      <c r="J128" s="4">
        <f>SUM(E:E)</f>
        <v>8348167350</v>
      </c>
      <c r="K128">
        <f>SUM(C:C)</f>
        <v>1017885</v>
      </c>
      <c r="L128">
        <f>MONTH(G:G)</f>
        <v>7</v>
      </c>
      <c r="M128">
        <f>YEAR(G:G)</f>
        <v>2024</v>
      </c>
    </row>
    <row r="129" spans="1:13" x14ac:dyDescent="0.25">
      <c r="A129" s="1" t="s">
        <v>18</v>
      </c>
      <c r="B129" s="1" t="s">
        <v>23</v>
      </c>
      <c r="C129">
        <v>1851</v>
      </c>
      <c r="D129">
        <v>9255000</v>
      </c>
      <c r="E129">
        <v>7774200</v>
      </c>
      <c r="F129">
        <v>1480800</v>
      </c>
      <c r="G129" s="2">
        <v>45490</v>
      </c>
      <c r="H129" s="3">
        <f>SUM(D:D)</f>
        <v>10447536600</v>
      </c>
      <c r="I129" s="4">
        <f>SUM(F:F)</f>
        <v>2099369250</v>
      </c>
      <c r="J129" s="4">
        <f>SUM(E:E)</f>
        <v>8348167350</v>
      </c>
      <c r="K129">
        <f>SUM(C:C)</f>
        <v>1017885</v>
      </c>
      <c r="L129">
        <f>MONTH(G:G)</f>
        <v>7</v>
      </c>
      <c r="M129">
        <f>YEAR(G:G)</f>
        <v>2024</v>
      </c>
    </row>
    <row r="130" spans="1:13" x14ac:dyDescent="0.25">
      <c r="A130" s="1" t="s">
        <v>16</v>
      </c>
      <c r="B130" s="1" t="s">
        <v>10</v>
      </c>
      <c r="C130">
        <v>1366</v>
      </c>
      <c r="D130">
        <v>4781000</v>
      </c>
      <c r="E130">
        <v>3551600</v>
      </c>
      <c r="F130">
        <v>1229400</v>
      </c>
      <c r="G130" s="2">
        <v>45489</v>
      </c>
      <c r="H130" s="3">
        <f>SUM(D:D)</f>
        <v>10447536600</v>
      </c>
      <c r="I130" s="4">
        <f>SUM(F:F)</f>
        <v>2099369250</v>
      </c>
      <c r="J130" s="4">
        <f>SUM(E:E)</f>
        <v>8348167350</v>
      </c>
      <c r="K130">
        <f>SUM(C:C)</f>
        <v>1017885</v>
      </c>
      <c r="L130">
        <f>MONTH(G:G)</f>
        <v>7</v>
      </c>
      <c r="M130">
        <f>YEAR(G:G)</f>
        <v>2024</v>
      </c>
    </row>
    <row r="131" spans="1:13" x14ac:dyDescent="0.25">
      <c r="A131" s="1" t="s">
        <v>11</v>
      </c>
      <c r="B131" s="1" t="s">
        <v>23</v>
      </c>
      <c r="C131">
        <v>1367</v>
      </c>
      <c r="D131">
        <v>6835000</v>
      </c>
      <c r="E131">
        <v>5741400</v>
      </c>
      <c r="F131">
        <v>1093600</v>
      </c>
      <c r="G131" s="2">
        <v>45504</v>
      </c>
      <c r="H131" s="3">
        <f>SUM(D:D)</f>
        <v>10447536600</v>
      </c>
      <c r="I131" s="4">
        <f>SUM(F:F)</f>
        <v>2099369250</v>
      </c>
      <c r="J131" s="4">
        <f>SUM(E:E)</f>
        <v>8348167350</v>
      </c>
      <c r="K131">
        <f>SUM(C:C)</f>
        <v>1017885</v>
      </c>
      <c r="L131">
        <f>MONTH(G:G)</f>
        <v>7</v>
      </c>
      <c r="M131">
        <f>YEAR(G:G)</f>
        <v>2024</v>
      </c>
    </row>
    <row r="132" spans="1:13" x14ac:dyDescent="0.25">
      <c r="A132" s="1" t="s">
        <v>13</v>
      </c>
      <c r="B132" s="1" t="s">
        <v>23</v>
      </c>
      <c r="C132">
        <v>300</v>
      </c>
      <c r="D132">
        <v>1500000</v>
      </c>
      <c r="E132">
        <v>1260000</v>
      </c>
      <c r="F132">
        <v>240000</v>
      </c>
      <c r="G132" s="2">
        <v>45533</v>
      </c>
      <c r="H132" s="3">
        <f>SUM(D:D)</f>
        <v>10447536600</v>
      </c>
      <c r="I132" s="4">
        <f>SUM(F:F)</f>
        <v>2099369250</v>
      </c>
      <c r="J132" s="4">
        <f>SUM(E:E)</f>
        <v>8348167350</v>
      </c>
      <c r="K132">
        <f>SUM(C:C)</f>
        <v>1017885</v>
      </c>
      <c r="L132">
        <f>MONTH(G:G)</f>
        <v>8</v>
      </c>
      <c r="M132">
        <f>YEAR(G:G)</f>
        <v>2024</v>
      </c>
    </row>
    <row r="133" spans="1:13" x14ac:dyDescent="0.25">
      <c r="A133" s="1" t="s">
        <v>20</v>
      </c>
      <c r="B133" s="1" t="s">
        <v>17</v>
      </c>
      <c r="C133">
        <v>1594</v>
      </c>
      <c r="D133">
        <v>23910000</v>
      </c>
      <c r="E133">
        <v>17534000</v>
      </c>
      <c r="F133">
        <v>6376000</v>
      </c>
      <c r="G133" s="2">
        <v>45528</v>
      </c>
      <c r="H133" s="3">
        <f>SUM(D:D)</f>
        <v>10447536600</v>
      </c>
      <c r="I133" s="4">
        <f>SUM(F:F)</f>
        <v>2099369250</v>
      </c>
      <c r="J133" s="4">
        <f>SUM(E:E)</f>
        <v>8348167350</v>
      </c>
      <c r="K133">
        <f>SUM(C:C)</f>
        <v>1017885</v>
      </c>
      <c r="L133">
        <f>MONTH(G:G)</f>
        <v>8</v>
      </c>
      <c r="M133">
        <f>YEAR(G:G)</f>
        <v>2024</v>
      </c>
    </row>
    <row r="134" spans="1:13" x14ac:dyDescent="0.25">
      <c r="A134" s="1" t="s">
        <v>9</v>
      </c>
      <c r="B134" s="1" t="s">
        <v>17</v>
      </c>
      <c r="C134">
        <v>89</v>
      </c>
      <c r="D134">
        <v>1335000</v>
      </c>
      <c r="E134">
        <v>979000</v>
      </c>
      <c r="F134">
        <v>356000</v>
      </c>
      <c r="G134" s="2">
        <v>45535</v>
      </c>
      <c r="H134" s="3">
        <f>SUM(D:D)</f>
        <v>10447536600</v>
      </c>
      <c r="I134" s="4">
        <f>SUM(F:F)</f>
        <v>2099369250</v>
      </c>
      <c r="J134" s="4">
        <f>SUM(E:E)</f>
        <v>8348167350</v>
      </c>
      <c r="K134">
        <f>SUM(C:C)</f>
        <v>1017885</v>
      </c>
      <c r="L134">
        <f>MONTH(G:G)</f>
        <v>8</v>
      </c>
      <c r="M134">
        <f>YEAR(G:G)</f>
        <v>2024</v>
      </c>
    </row>
    <row r="135" spans="1:13" x14ac:dyDescent="0.25">
      <c r="A135" s="1" t="s">
        <v>22</v>
      </c>
      <c r="B135" s="1" t="s">
        <v>12</v>
      </c>
      <c r="C135">
        <v>1641</v>
      </c>
      <c r="D135">
        <v>1969200</v>
      </c>
      <c r="E135">
        <v>1394850</v>
      </c>
      <c r="F135">
        <v>574350</v>
      </c>
      <c r="G135" s="2">
        <v>45529</v>
      </c>
      <c r="H135" s="3">
        <f>SUM(D:D)</f>
        <v>10447536600</v>
      </c>
      <c r="I135" s="4">
        <f>SUM(F:F)</f>
        <v>2099369250</v>
      </c>
      <c r="J135" s="4">
        <f>SUM(E:E)</f>
        <v>8348167350</v>
      </c>
      <c r="K135">
        <f>SUM(C:C)</f>
        <v>1017885</v>
      </c>
      <c r="L135">
        <f>MONTH(G:G)</f>
        <v>8</v>
      </c>
      <c r="M135">
        <f>YEAR(G:G)</f>
        <v>2024</v>
      </c>
    </row>
    <row r="136" spans="1:13" x14ac:dyDescent="0.25">
      <c r="A136" s="1" t="s">
        <v>21</v>
      </c>
      <c r="B136" s="1" t="s">
        <v>8</v>
      </c>
      <c r="C136">
        <v>1937</v>
      </c>
      <c r="D136">
        <v>5811000</v>
      </c>
      <c r="E136">
        <v>3486600</v>
      </c>
      <c r="F136">
        <v>2324400</v>
      </c>
      <c r="G136" s="2">
        <v>45533</v>
      </c>
      <c r="H136" s="3">
        <f>SUM(D:D)</f>
        <v>10447536600</v>
      </c>
      <c r="I136" s="4">
        <f>SUM(F:F)</f>
        <v>2099369250</v>
      </c>
      <c r="J136" s="4">
        <f>SUM(E:E)</f>
        <v>8348167350</v>
      </c>
      <c r="K136">
        <f>SUM(C:C)</f>
        <v>1017885</v>
      </c>
      <c r="L136">
        <f>MONTH(G:G)</f>
        <v>8</v>
      </c>
      <c r="M136">
        <f>YEAR(G:G)</f>
        <v>2024</v>
      </c>
    </row>
    <row r="137" spans="1:13" x14ac:dyDescent="0.25">
      <c r="A137" s="1" t="s">
        <v>9</v>
      </c>
      <c r="B137" s="1" t="s">
        <v>12</v>
      </c>
      <c r="C137">
        <v>565</v>
      </c>
      <c r="D137">
        <v>678000</v>
      </c>
      <c r="E137">
        <v>480250</v>
      </c>
      <c r="F137">
        <v>197750</v>
      </c>
      <c r="G137" s="2">
        <v>45533</v>
      </c>
      <c r="H137" s="3">
        <f>SUM(D:D)</f>
        <v>10447536600</v>
      </c>
      <c r="I137" s="4">
        <f>SUM(F:F)</f>
        <v>2099369250</v>
      </c>
      <c r="J137" s="4">
        <f>SUM(E:E)</f>
        <v>8348167350</v>
      </c>
      <c r="K137">
        <f>SUM(C:C)</f>
        <v>1017885</v>
      </c>
      <c r="L137">
        <f>MONTH(G:G)</f>
        <v>8</v>
      </c>
      <c r="M137">
        <f>YEAR(G:G)</f>
        <v>2024</v>
      </c>
    </row>
    <row r="138" spans="1:13" x14ac:dyDescent="0.25">
      <c r="A138" s="1" t="s">
        <v>15</v>
      </c>
      <c r="B138" s="1" t="s">
        <v>10</v>
      </c>
      <c r="C138">
        <v>2050</v>
      </c>
      <c r="D138">
        <v>7175000</v>
      </c>
      <c r="E138">
        <v>5330000</v>
      </c>
      <c r="F138">
        <v>1845000</v>
      </c>
      <c r="G138" s="2">
        <v>45523</v>
      </c>
      <c r="H138" s="3">
        <f>SUM(D:D)</f>
        <v>10447536600</v>
      </c>
      <c r="I138" s="4">
        <f>SUM(F:F)</f>
        <v>2099369250</v>
      </c>
      <c r="J138" s="4">
        <f>SUM(E:E)</f>
        <v>8348167350</v>
      </c>
      <c r="K138">
        <f>SUM(C:C)</f>
        <v>1017885</v>
      </c>
      <c r="L138">
        <f>MONTH(G:G)</f>
        <v>8</v>
      </c>
      <c r="M138">
        <f>YEAR(G:G)</f>
        <v>2024</v>
      </c>
    </row>
    <row r="139" spans="1:13" x14ac:dyDescent="0.25">
      <c r="A139" s="1" t="s">
        <v>13</v>
      </c>
      <c r="B139" s="1" t="s">
        <v>17</v>
      </c>
      <c r="C139">
        <v>842</v>
      </c>
      <c r="D139">
        <v>12630000</v>
      </c>
      <c r="E139">
        <v>9262000</v>
      </c>
      <c r="F139">
        <v>3368000</v>
      </c>
      <c r="G139" s="2">
        <v>45523</v>
      </c>
      <c r="H139" s="3">
        <f>SUM(D:D)</f>
        <v>10447536600</v>
      </c>
      <c r="I139" s="4">
        <f>SUM(F:F)</f>
        <v>2099369250</v>
      </c>
      <c r="J139" s="4">
        <f>SUM(E:E)</f>
        <v>8348167350</v>
      </c>
      <c r="K139">
        <f>SUM(C:C)</f>
        <v>1017885</v>
      </c>
      <c r="L139">
        <f>MONTH(G:G)</f>
        <v>8</v>
      </c>
      <c r="M139">
        <f>YEAR(G:G)</f>
        <v>2024</v>
      </c>
    </row>
    <row r="140" spans="1:13" x14ac:dyDescent="0.25">
      <c r="A140" s="1" t="s">
        <v>22</v>
      </c>
      <c r="B140" s="1" t="s">
        <v>19</v>
      </c>
      <c r="C140">
        <v>427</v>
      </c>
      <c r="D140">
        <v>19215000</v>
      </c>
      <c r="E140">
        <v>16226000</v>
      </c>
      <c r="F140">
        <v>2989000</v>
      </c>
      <c r="G140" s="2">
        <v>45508</v>
      </c>
      <c r="H140" s="3">
        <f>SUM(D:D)</f>
        <v>10447536600</v>
      </c>
      <c r="I140" s="4">
        <f>SUM(F:F)</f>
        <v>2099369250</v>
      </c>
      <c r="J140" s="4">
        <f>SUM(E:E)</f>
        <v>8348167350</v>
      </c>
      <c r="K140">
        <f>SUM(C:C)</f>
        <v>1017885</v>
      </c>
      <c r="L140">
        <f>MONTH(G:G)</f>
        <v>8</v>
      </c>
      <c r="M140">
        <f>YEAR(G:G)</f>
        <v>2024</v>
      </c>
    </row>
    <row r="141" spans="1:13" x14ac:dyDescent="0.25">
      <c r="A141" s="1" t="s">
        <v>16</v>
      </c>
      <c r="B141" s="1" t="s">
        <v>10</v>
      </c>
      <c r="C141">
        <v>828</v>
      </c>
      <c r="D141">
        <v>2898000</v>
      </c>
      <c r="E141">
        <v>2152800</v>
      </c>
      <c r="F141">
        <v>745200</v>
      </c>
      <c r="G141" s="2">
        <v>45529</v>
      </c>
      <c r="H141" s="3">
        <f>SUM(D:D)</f>
        <v>10447536600</v>
      </c>
      <c r="I141" s="4">
        <f>SUM(F:F)</f>
        <v>2099369250</v>
      </c>
      <c r="J141" s="4">
        <f>SUM(E:E)</f>
        <v>8348167350</v>
      </c>
      <c r="K141">
        <f>SUM(C:C)</f>
        <v>1017885</v>
      </c>
      <c r="L141">
        <f>MONTH(G:G)</f>
        <v>8</v>
      </c>
      <c r="M141">
        <f>YEAR(G:G)</f>
        <v>2024</v>
      </c>
    </row>
    <row r="142" spans="1:13" x14ac:dyDescent="0.25">
      <c r="A142" s="1" t="s">
        <v>21</v>
      </c>
      <c r="B142" s="1" t="s">
        <v>8</v>
      </c>
      <c r="C142">
        <v>1626</v>
      </c>
      <c r="D142">
        <v>4878000</v>
      </c>
      <c r="E142">
        <v>2926800</v>
      </c>
      <c r="F142">
        <v>1951200</v>
      </c>
      <c r="G142" s="2">
        <v>45527</v>
      </c>
      <c r="H142" s="3">
        <f>SUM(D:D)</f>
        <v>10447536600</v>
      </c>
      <c r="I142" s="4">
        <f>SUM(F:F)</f>
        <v>2099369250</v>
      </c>
      <c r="J142" s="4">
        <f>SUM(E:E)</f>
        <v>8348167350</v>
      </c>
      <c r="K142">
        <f>SUM(C:C)</f>
        <v>1017885</v>
      </c>
      <c r="L142">
        <f>MONTH(G:G)</f>
        <v>8</v>
      </c>
      <c r="M142">
        <f>YEAR(G:G)</f>
        <v>2024</v>
      </c>
    </row>
    <row r="143" spans="1:13" x14ac:dyDescent="0.25">
      <c r="A143" s="1" t="s">
        <v>16</v>
      </c>
      <c r="B143" s="1" t="s">
        <v>19</v>
      </c>
      <c r="C143">
        <v>641</v>
      </c>
      <c r="D143">
        <v>28845000</v>
      </c>
      <c r="E143">
        <v>24358000</v>
      </c>
      <c r="F143">
        <v>4487000</v>
      </c>
      <c r="G143" s="2">
        <v>45526</v>
      </c>
      <c r="H143" s="3">
        <f>SUM(D:D)</f>
        <v>10447536600</v>
      </c>
      <c r="I143" s="4">
        <f>SUM(F:F)</f>
        <v>2099369250</v>
      </c>
      <c r="J143" s="4">
        <f>SUM(E:E)</f>
        <v>8348167350</v>
      </c>
      <c r="K143">
        <f>SUM(C:C)</f>
        <v>1017885</v>
      </c>
      <c r="L143">
        <f>MONTH(G:G)</f>
        <v>8</v>
      </c>
      <c r="M143">
        <f>YEAR(G:G)</f>
        <v>2024</v>
      </c>
    </row>
    <row r="144" spans="1:13" x14ac:dyDescent="0.25">
      <c r="A144" s="1" t="s">
        <v>9</v>
      </c>
      <c r="B144" s="1" t="s">
        <v>23</v>
      </c>
      <c r="C144">
        <v>2036</v>
      </c>
      <c r="D144">
        <v>10180000</v>
      </c>
      <c r="E144">
        <v>8551200</v>
      </c>
      <c r="F144">
        <v>1628800</v>
      </c>
      <c r="G144" s="2">
        <v>45522</v>
      </c>
      <c r="H144" s="3">
        <f>SUM(D:D)</f>
        <v>10447536600</v>
      </c>
      <c r="I144" s="4">
        <f>SUM(F:F)</f>
        <v>2099369250</v>
      </c>
      <c r="J144" s="4">
        <f>SUM(E:E)</f>
        <v>8348167350</v>
      </c>
      <c r="K144">
        <f>SUM(C:C)</f>
        <v>1017885</v>
      </c>
      <c r="L144">
        <f>MONTH(G:G)</f>
        <v>8</v>
      </c>
      <c r="M144">
        <f>YEAR(G:G)</f>
        <v>2024</v>
      </c>
    </row>
    <row r="145" spans="1:13" x14ac:dyDescent="0.25">
      <c r="A145" s="1" t="s">
        <v>7</v>
      </c>
      <c r="B145" s="1" t="s">
        <v>14</v>
      </c>
      <c r="C145">
        <v>1337</v>
      </c>
      <c r="D145">
        <v>1604400</v>
      </c>
      <c r="E145">
        <v>1069600</v>
      </c>
      <c r="F145">
        <v>534800</v>
      </c>
      <c r="G145" s="2">
        <v>45525</v>
      </c>
      <c r="H145" s="3">
        <f>SUM(D:D)</f>
        <v>10447536600</v>
      </c>
      <c r="I145" s="4">
        <f>SUM(F:F)</f>
        <v>2099369250</v>
      </c>
      <c r="J145" s="4">
        <f>SUM(E:E)</f>
        <v>8348167350</v>
      </c>
      <c r="K145">
        <f>SUM(C:C)</f>
        <v>1017885</v>
      </c>
      <c r="L145">
        <f>MONTH(G:G)</f>
        <v>8</v>
      </c>
      <c r="M145">
        <f>YEAR(G:G)</f>
        <v>2024</v>
      </c>
    </row>
    <row r="146" spans="1:13" x14ac:dyDescent="0.25">
      <c r="A146" s="1" t="s">
        <v>9</v>
      </c>
      <c r="B146" s="1" t="s">
        <v>19</v>
      </c>
      <c r="C146">
        <v>564</v>
      </c>
      <c r="D146">
        <v>25380000</v>
      </c>
      <c r="E146">
        <v>21432000</v>
      </c>
      <c r="F146">
        <v>3948000</v>
      </c>
      <c r="G146" s="2">
        <v>45518</v>
      </c>
      <c r="H146" s="3">
        <f>SUM(D:D)</f>
        <v>10447536600</v>
      </c>
      <c r="I146" s="4">
        <f>SUM(F:F)</f>
        <v>2099369250</v>
      </c>
      <c r="J146" s="4">
        <f>SUM(E:E)</f>
        <v>8348167350</v>
      </c>
      <c r="K146">
        <f>SUM(C:C)</f>
        <v>1017885</v>
      </c>
      <c r="L146">
        <f>MONTH(G:G)</f>
        <v>8</v>
      </c>
      <c r="M146">
        <f>YEAR(G:G)</f>
        <v>2024</v>
      </c>
    </row>
    <row r="147" spans="1:13" x14ac:dyDescent="0.25">
      <c r="A147" s="1" t="s">
        <v>15</v>
      </c>
      <c r="B147" s="1" t="s">
        <v>19</v>
      </c>
      <c r="C147">
        <v>539</v>
      </c>
      <c r="D147">
        <v>24255000</v>
      </c>
      <c r="E147">
        <v>20482000</v>
      </c>
      <c r="F147">
        <v>3773000</v>
      </c>
      <c r="G147" s="2">
        <v>45534</v>
      </c>
      <c r="H147" s="3">
        <f>SUM(D:D)</f>
        <v>10447536600</v>
      </c>
      <c r="I147" s="4">
        <f>SUM(F:F)</f>
        <v>2099369250</v>
      </c>
      <c r="J147" s="4">
        <f>SUM(E:E)</f>
        <v>8348167350</v>
      </c>
      <c r="K147">
        <f>SUM(C:C)</f>
        <v>1017885</v>
      </c>
      <c r="L147">
        <f>MONTH(G:G)</f>
        <v>8</v>
      </c>
      <c r="M147">
        <f>YEAR(G:G)</f>
        <v>2024</v>
      </c>
    </row>
    <row r="148" spans="1:13" x14ac:dyDescent="0.25">
      <c r="A148" s="1" t="s">
        <v>21</v>
      </c>
      <c r="B148" s="1" t="s">
        <v>23</v>
      </c>
      <c r="C148">
        <v>2592</v>
      </c>
      <c r="D148">
        <v>12960000</v>
      </c>
      <c r="E148">
        <v>10886400</v>
      </c>
      <c r="F148">
        <v>2073600</v>
      </c>
      <c r="G148" s="2">
        <v>45505</v>
      </c>
      <c r="H148" s="3">
        <f>SUM(D:D)</f>
        <v>10447536600</v>
      </c>
      <c r="I148" s="4">
        <f>SUM(F:F)</f>
        <v>2099369250</v>
      </c>
      <c r="J148" s="4">
        <f>SUM(E:E)</f>
        <v>8348167350</v>
      </c>
      <c r="K148">
        <f>SUM(C:C)</f>
        <v>1017885</v>
      </c>
      <c r="L148">
        <f>MONTH(G:G)</f>
        <v>8</v>
      </c>
      <c r="M148">
        <f>YEAR(G:G)</f>
        <v>2024</v>
      </c>
    </row>
    <row r="149" spans="1:13" x14ac:dyDescent="0.25">
      <c r="A149" s="1" t="s">
        <v>7</v>
      </c>
      <c r="B149" s="1" t="s">
        <v>19</v>
      </c>
      <c r="C149">
        <v>1849</v>
      </c>
      <c r="D149">
        <v>83205000</v>
      </c>
      <c r="E149">
        <v>70262000</v>
      </c>
      <c r="F149">
        <v>12943000</v>
      </c>
      <c r="G149" s="2">
        <v>45518</v>
      </c>
      <c r="H149" s="3">
        <f>SUM(D:D)</f>
        <v>10447536600</v>
      </c>
      <c r="I149" s="4">
        <f>SUM(F:F)</f>
        <v>2099369250</v>
      </c>
      <c r="J149" s="4">
        <f>SUM(E:E)</f>
        <v>8348167350</v>
      </c>
      <c r="K149">
        <f>SUM(C:C)</f>
        <v>1017885</v>
      </c>
      <c r="L149">
        <f>MONTH(G:G)</f>
        <v>8</v>
      </c>
      <c r="M149">
        <f>YEAR(G:G)</f>
        <v>2024</v>
      </c>
    </row>
    <row r="150" spans="1:13" x14ac:dyDescent="0.25">
      <c r="A150" s="1" t="s">
        <v>21</v>
      </c>
      <c r="B150" s="1" t="s">
        <v>10</v>
      </c>
      <c r="C150">
        <v>2474</v>
      </c>
      <c r="D150">
        <v>8659000</v>
      </c>
      <c r="E150">
        <v>6432400</v>
      </c>
      <c r="F150">
        <v>2226600</v>
      </c>
      <c r="G150" s="2">
        <v>45554</v>
      </c>
      <c r="H150" s="3">
        <f>SUM(D:D)</f>
        <v>10447536600</v>
      </c>
      <c r="I150" s="4">
        <f>SUM(F:F)</f>
        <v>2099369250</v>
      </c>
      <c r="J150" s="4">
        <f>SUM(E:E)</f>
        <v>8348167350</v>
      </c>
      <c r="K150">
        <f>SUM(C:C)</f>
        <v>1017885</v>
      </c>
      <c r="L150">
        <f>MONTH(G:G)</f>
        <v>9</v>
      </c>
      <c r="M150">
        <f>YEAR(G:G)</f>
        <v>2024</v>
      </c>
    </row>
    <row r="151" spans="1:13" x14ac:dyDescent="0.25">
      <c r="A151" s="1" t="s">
        <v>16</v>
      </c>
      <c r="B151" s="1" t="s">
        <v>10</v>
      </c>
      <c r="C151">
        <v>1405</v>
      </c>
      <c r="D151">
        <v>4917500</v>
      </c>
      <c r="E151">
        <v>3653000</v>
      </c>
      <c r="F151">
        <v>1264500</v>
      </c>
      <c r="G151" s="2">
        <v>45553</v>
      </c>
      <c r="H151" s="3">
        <f>SUM(D:D)</f>
        <v>10447536600</v>
      </c>
      <c r="I151" s="4">
        <f>SUM(F:F)</f>
        <v>2099369250</v>
      </c>
      <c r="J151" s="4">
        <f>SUM(E:E)</f>
        <v>8348167350</v>
      </c>
      <c r="K151">
        <f>SUM(C:C)</f>
        <v>1017885</v>
      </c>
      <c r="L151">
        <f>MONTH(G:G)</f>
        <v>9</v>
      </c>
      <c r="M151">
        <f>YEAR(G:G)</f>
        <v>2024</v>
      </c>
    </row>
    <row r="152" spans="1:13" x14ac:dyDescent="0.25">
      <c r="A152" s="1" t="s">
        <v>11</v>
      </c>
      <c r="B152" s="1" t="s">
        <v>17</v>
      </c>
      <c r="C152">
        <v>642</v>
      </c>
      <c r="D152">
        <v>9630000</v>
      </c>
      <c r="E152">
        <v>7062000</v>
      </c>
      <c r="F152">
        <v>2568000</v>
      </c>
      <c r="G152" s="2">
        <v>45557</v>
      </c>
      <c r="H152" s="3">
        <f>SUM(D:D)</f>
        <v>10447536600</v>
      </c>
      <c r="I152" s="4">
        <f>SUM(F:F)</f>
        <v>2099369250</v>
      </c>
      <c r="J152" s="4">
        <f>SUM(E:E)</f>
        <v>8348167350</v>
      </c>
      <c r="K152">
        <f>SUM(C:C)</f>
        <v>1017885</v>
      </c>
      <c r="L152">
        <f>MONTH(G:G)</f>
        <v>9</v>
      </c>
      <c r="M152">
        <f>YEAR(G:G)</f>
        <v>2024</v>
      </c>
    </row>
    <row r="153" spans="1:13" x14ac:dyDescent="0.25">
      <c r="A153" s="1" t="s">
        <v>21</v>
      </c>
      <c r="B153" s="1" t="s">
        <v>19</v>
      </c>
      <c r="C153">
        <v>1374</v>
      </c>
      <c r="D153">
        <v>61830000</v>
      </c>
      <c r="E153">
        <v>52212000</v>
      </c>
      <c r="F153">
        <v>9618000</v>
      </c>
      <c r="G153" s="2">
        <v>45544</v>
      </c>
      <c r="H153" s="3">
        <f>SUM(D:D)</f>
        <v>10447536600</v>
      </c>
      <c r="I153" s="4">
        <f>SUM(F:F)</f>
        <v>2099369250</v>
      </c>
      <c r="J153" s="4">
        <f>SUM(E:E)</f>
        <v>8348167350</v>
      </c>
      <c r="K153">
        <f>SUM(C:C)</f>
        <v>1017885</v>
      </c>
      <c r="L153">
        <f>MONTH(G:G)</f>
        <v>9</v>
      </c>
      <c r="M153">
        <f>YEAR(G:G)</f>
        <v>2024</v>
      </c>
    </row>
    <row r="154" spans="1:13" x14ac:dyDescent="0.25">
      <c r="A154" s="1" t="s">
        <v>16</v>
      </c>
      <c r="B154" s="1" t="s">
        <v>12</v>
      </c>
      <c r="C154">
        <v>2519</v>
      </c>
      <c r="D154">
        <v>3022800</v>
      </c>
      <c r="E154">
        <v>2141150</v>
      </c>
      <c r="F154">
        <v>881650</v>
      </c>
      <c r="G154" s="2">
        <v>45545</v>
      </c>
      <c r="H154" s="3">
        <f>SUM(D:D)</f>
        <v>10447536600</v>
      </c>
      <c r="I154" s="4">
        <f>SUM(F:F)</f>
        <v>2099369250</v>
      </c>
      <c r="J154" s="4">
        <f>SUM(E:E)</f>
        <v>8348167350</v>
      </c>
      <c r="K154">
        <f>SUM(C:C)</f>
        <v>1017885</v>
      </c>
      <c r="L154">
        <f>MONTH(G:G)</f>
        <v>9</v>
      </c>
      <c r="M154">
        <f>YEAR(G:G)</f>
        <v>2024</v>
      </c>
    </row>
    <row r="155" spans="1:13" x14ac:dyDescent="0.25">
      <c r="A155" s="1" t="s">
        <v>21</v>
      </c>
      <c r="B155" s="1" t="s">
        <v>10</v>
      </c>
      <c r="C155">
        <v>344</v>
      </c>
      <c r="D155">
        <v>1204000</v>
      </c>
      <c r="E155">
        <v>894400</v>
      </c>
      <c r="F155">
        <v>309600</v>
      </c>
      <c r="G155" s="2">
        <v>45554</v>
      </c>
      <c r="H155" s="3">
        <f>SUM(D:D)</f>
        <v>10447536600</v>
      </c>
      <c r="I155" s="4">
        <f>SUM(F:F)</f>
        <v>2099369250</v>
      </c>
      <c r="J155" s="4">
        <f>SUM(E:E)</f>
        <v>8348167350</v>
      </c>
      <c r="K155">
        <f>SUM(C:C)</f>
        <v>1017885</v>
      </c>
      <c r="L155">
        <f>MONTH(G:G)</f>
        <v>9</v>
      </c>
      <c r="M155">
        <f>YEAR(G:G)</f>
        <v>2024</v>
      </c>
    </row>
    <row r="156" spans="1:13" x14ac:dyDescent="0.25">
      <c r="A156" s="1" t="s">
        <v>11</v>
      </c>
      <c r="B156" s="1" t="s">
        <v>19</v>
      </c>
      <c r="C156">
        <v>1485</v>
      </c>
      <c r="D156">
        <v>66825000</v>
      </c>
      <c r="E156">
        <v>56430000</v>
      </c>
      <c r="F156">
        <v>10395000</v>
      </c>
      <c r="G156" s="2">
        <v>45537</v>
      </c>
      <c r="H156" s="3">
        <f>SUM(D:D)</f>
        <v>10447536600</v>
      </c>
      <c r="I156" s="4">
        <f>SUM(F:F)</f>
        <v>2099369250</v>
      </c>
      <c r="J156" s="4">
        <f>SUM(E:E)</f>
        <v>8348167350</v>
      </c>
      <c r="K156">
        <f>SUM(C:C)</f>
        <v>1017885</v>
      </c>
      <c r="L156">
        <f>MONTH(G:G)</f>
        <v>9</v>
      </c>
      <c r="M156">
        <f>YEAR(G:G)</f>
        <v>2024</v>
      </c>
    </row>
    <row r="157" spans="1:13" x14ac:dyDescent="0.25">
      <c r="A157" s="1" t="s">
        <v>9</v>
      </c>
      <c r="B157" s="1" t="s">
        <v>19</v>
      </c>
      <c r="C157">
        <v>1417</v>
      </c>
      <c r="D157">
        <v>63765000</v>
      </c>
      <c r="E157">
        <v>53846000</v>
      </c>
      <c r="F157">
        <v>9919000</v>
      </c>
      <c r="G157" s="2">
        <v>45564</v>
      </c>
      <c r="H157" s="3">
        <f>SUM(D:D)</f>
        <v>10447536600</v>
      </c>
      <c r="I157" s="4">
        <f>SUM(F:F)</f>
        <v>2099369250</v>
      </c>
      <c r="J157" s="4">
        <f>SUM(E:E)</f>
        <v>8348167350</v>
      </c>
      <c r="K157">
        <f>SUM(C:C)</f>
        <v>1017885</v>
      </c>
      <c r="L157">
        <f>MONTH(G:G)</f>
        <v>9</v>
      </c>
      <c r="M157">
        <f>YEAR(G:G)</f>
        <v>2024</v>
      </c>
    </row>
    <row r="158" spans="1:13" x14ac:dyDescent="0.25">
      <c r="A158" s="1" t="s">
        <v>11</v>
      </c>
      <c r="B158" s="1" t="s">
        <v>8</v>
      </c>
      <c r="C158">
        <v>2685</v>
      </c>
      <c r="D158">
        <v>8055000</v>
      </c>
      <c r="E158">
        <v>4833000</v>
      </c>
      <c r="F158">
        <v>3222000</v>
      </c>
      <c r="G158" s="2">
        <v>45547</v>
      </c>
      <c r="H158" s="3">
        <f>SUM(D:D)</f>
        <v>10447536600</v>
      </c>
      <c r="I158" s="4">
        <f>SUM(F:F)</f>
        <v>2099369250</v>
      </c>
      <c r="J158" s="4">
        <f>SUM(E:E)</f>
        <v>8348167350</v>
      </c>
      <c r="K158">
        <f>SUM(C:C)</f>
        <v>1017885</v>
      </c>
      <c r="L158">
        <f>MONTH(G:G)</f>
        <v>9</v>
      </c>
      <c r="M158">
        <f>YEAR(G:G)</f>
        <v>2024</v>
      </c>
    </row>
    <row r="159" spans="1:13" x14ac:dyDescent="0.25">
      <c r="A159" s="1" t="s">
        <v>7</v>
      </c>
      <c r="B159" s="1" t="s">
        <v>23</v>
      </c>
      <c r="C159">
        <v>734</v>
      </c>
      <c r="D159">
        <v>3670000</v>
      </c>
      <c r="E159">
        <v>3082800</v>
      </c>
      <c r="F159">
        <v>587200</v>
      </c>
      <c r="G159" s="2">
        <v>45564</v>
      </c>
      <c r="H159" s="3">
        <f>SUM(D:D)</f>
        <v>10447536600</v>
      </c>
      <c r="I159" s="4">
        <f>SUM(F:F)</f>
        <v>2099369250</v>
      </c>
      <c r="J159" s="4">
        <f>SUM(E:E)</f>
        <v>8348167350</v>
      </c>
      <c r="K159">
        <f>SUM(C:C)</f>
        <v>1017885</v>
      </c>
      <c r="L159">
        <f>MONTH(G:G)</f>
        <v>9</v>
      </c>
      <c r="M159">
        <f>YEAR(G:G)</f>
        <v>2024</v>
      </c>
    </row>
    <row r="160" spans="1:13" x14ac:dyDescent="0.25">
      <c r="A160" s="1" t="s">
        <v>7</v>
      </c>
      <c r="B160" s="1" t="s">
        <v>17</v>
      </c>
      <c r="C160">
        <v>686</v>
      </c>
      <c r="D160">
        <v>10290000</v>
      </c>
      <c r="E160">
        <v>7546000</v>
      </c>
      <c r="F160">
        <v>2744000</v>
      </c>
      <c r="G160" s="2">
        <v>45545</v>
      </c>
      <c r="H160" s="3">
        <f>SUM(D:D)</f>
        <v>10447536600</v>
      </c>
      <c r="I160" s="4">
        <f>SUM(F:F)</f>
        <v>2099369250</v>
      </c>
      <c r="J160" s="4">
        <f>SUM(E:E)</f>
        <v>8348167350</v>
      </c>
      <c r="K160">
        <f>SUM(C:C)</f>
        <v>1017885</v>
      </c>
      <c r="L160">
        <f>MONTH(G:G)</f>
        <v>9</v>
      </c>
      <c r="M160">
        <f>YEAR(G:G)</f>
        <v>2024</v>
      </c>
    </row>
    <row r="161" spans="1:13" x14ac:dyDescent="0.25">
      <c r="A161" s="1" t="s">
        <v>18</v>
      </c>
      <c r="B161" s="1" t="s">
        <v>12</v>
      </c>
      <c r="C161">
        <v>989</v>
      </c>
      <c r="D161">
        <v>1186800</v>
      </c>
      <c r="E161">
        <v>840650</v>
      </c>
      <c r="F161">
        <v>346150</v>
      </c>
      <c r="G161" s="2">
        <v>45552</v>
      </c>
      <c r="H161" s="3">
        <f>SUM(D:D)</f>
        <v>10447536600</v>
      </c>
      <c r="I161" s="4">
        <f>SUM(F:F)</f>
        <v>2099369250</v>
      </c>
      <c r="J161" s="4">
        <f>SUM(E:E)</f>
        <v>8348167350</v>
      </c>
      <c r="K161">
        <f>SUM(C:C)</f>
        <v>1017885</v>
      </c>
      <c r="L161">
        <f>MONTH(G:G)</f>
        <v>9</v>
      </c>
      <c r="M161">
        <f>YEAR(G:G)</f>
        <v>2024</v>
      </c>
    </row>
    <row r="162" spans="1:13" x14ac:dyDescent="0.25">
      <c r="A162" s="1" t="s">
        <v>15</v>
      </c>
      <c r="B162" s="1" t="s">
        <v>14</v>
      </c>
      <c r="C162">
        <v>77</v>
      </c>
      <c r="D162">
        <v>92400</v>
      </c>
      <c r="E162">
        <v>61600</v>
      </c>
      <c r="F162">
        <v>30800</v>
      </c>
      <c r="G162" s="2">
        <v>45561</v>
      </c>
      <c r="H162" s="3">
        <f>SUM(D:D)</f>
        <v>10447536600</v>
      </c>
      <c r="I162" s="4">
        <f>SUM(F:F)</f>
        <v>2099369250</v>
      </c>
      <c r="J162" s="4">
        <f>SUM(E:E)</f>
        <v>8348167350</v>
      </c>
      <c r="K162">
        <f>SUM(C:C)</f>
        <v>1017885</v>
      </c>
      <c r="L162">
        <f>MONTH(G:G)</f>
        <v>9</v>
      </c>
      <c r="M162">
        <f>YEAR(G:G)</f>
        <v>2024</v>
      </c>
    </row>
    <row r="163" spans="1:13" x14ac:dyDescent="0.25">
      <c r="A163" s="1" t="s">
        <v>9</v>
      </c>
      <c r="B163" s="1" t="s">
        <v>8</v>
      </c>
      <c r="C163">
        <v>509</v>
      </c>
      <c r="D163">
        <v>1527000</v>
      </c>
      <c r="E163">
        <v>916200</v>
      </c>
      <c r="F163">
        <v>610800</v>
      </c>
      <c r="G163" s="2">
        <v>45541</v>
      </c>
      <c r="H163" s="3">
        <f>SUM(D:D)</f>
        <v>10447536600</v>
      </c>
      <c r="I163" s="4">
        <f>SUM(F:F)</f>
        <v>2099369250</v>
      </c>
      <c r="J163" s="4">
        <f>SUM(E:E)</f>
        <v>8348167350</v>
      </c>
      <c r="K163">
        <f>SUM(C:C)</f>
        <v>1017885</v>
      </c>
      <c r="L163">
        <f>MONTH(G:G)</f>
        <v>9</v>
      </c>
      <c r="M163">
        <f>YEAR(G:G)</f>
        <v>2024</v>
      </c>
    </row>
    <row r="164" spans="1:13" x14ac:dyDescent="0.25">
      <c r="A164" s="1" t="s">
        <v>7</v>
      </c>
      <c r="B164" s="1" t="s">
        <v>10</v>
      </c>
      <c r="C164">
        <v>1436</v>
      </c>
      <c r="D164">
        <v>5026000</v>
      </c>
      <c r="E164">
        <v>3733600</v>
      </c>
      <c r="F164">
        <v>1292400</v>
      </c>
      <c r="G164" s="2">
        <v>45594</v>
      </c>
      <c r="H164" s="3">
        <f>SUM(D:D)</f>
        <v>10447536600</v>
      </c>
      <c r="I164" s="4">
        <f>SUM(F:F)</f>
        <v>2099369250</v>
      </c>
      <c r="J164" s="4">
        <f>SUM(E:E)</f>
        <v>8348167350</v>
      </c>
      <c r="K164">
        <f>SUM(C:C)</f>
        <v>1017885</v>
      </c>
      <c r="L164">
        <f>MONTH(G:G)</f>
        <v>10</v>
      </c>
      <c r="M164">
        <f>YEAR(G:G)</f>
        <v>2024</v>
      </c>
    </row>
    <row r="165" spans="1:13" x14ac:dyDescent="0.25">
      <c r="A165" s="1" t="s">
        <v>20</v>
      </c>
      <c r="B165" s="1" t="s">
        <v>14</v>
      </c>
      <c r="C165">
        <v>2810</v>
      </c>
      <c r="D165">
        <v>3372000</v>
      </c>
      <c r="E165">
        <v>2248000</v>
      </c>
      <c r="F165">
        <v>1124000</v>
      </c>
      <c r="G165" s="2">
        <v>45596</v>
      </c>
      <c r="H165" s="3">
        <f>SUM(D:D)</f>
        <v>10447536600</v>
      </c>
      <c r="I165" s="4">
        <f>SUM(F:F)</f>
        <v>2099369250</v>
      </c>
      <c r="J165" s="4">
        <f>SUM(E:E)</f>
        <v>8348167350</v>
      </c>
      <c r="K165">
        <f>SUM(C:C)</f>
        <v>1017885</v>
      </c>
      <c r="L165">
        <f>MONTH(G:G)</f>
        <v>10</v>
      </c>
      <c r="M165">
        <f>YEAR(G:G)</f>
        <v>2024</v>
      </c>
    </row>
    <row r="166" spans="1:13" x14ac:dyDescent="0.25">
      <c r="A166" s="1" t="s">
        <v>22</v>
      </c>
      <c r="B166" s="1" t="s">
        <v>10</v>
      </c>
      <c r="C166">
        <v>1090</v>
      </c>
      <c r="D166">
        <v>3815000</v>
      </c>
      <c r="E166">
        <v>2834000</v>
      </c>
      <c r="F166">
        <v>981000</v>
      </c>
      <c r="G166" s="2">
        <v>45582</v>
      </c>
      <c r="H166" s="3">
        <f>SUM(D:D)</f>
        <v>10447536600</v>
      </c>
      <c r="I166" s="4">
        <f>SUM(F:F)</f>
        <v>2099369250</v>
      </c>
      <c r="J166" s="4">
        <f>SUM(E:E)</f>
        <v>8348167350</v>
      </c>
      <c r="K166">
        <f>SUM(C:C)</f>
        <v>1017885</v>
      </c>
      <c r="L166">
        <f>MONTH(G:G)</f>
        <v>10</v>
      </c>
      <c r="M166">
        <f>YEAR(G:G)</f>
        <v>2024</v>
      </c>
    </row>
    <row r="167" spans="1:13" x14ac:dyDescent="0.25">
      <c r="A167" s="1" t="s">
        <v>20</v>
      </c>
      <c r="B167" s="1" t="s">
        <v>17</v>
      </c>
      <c r="C167">
        <v>2621</v>
      </c>
      <c r="D167">
        <v>39315000</v>
      </c>
      <c r="E167">
        <v>28831000</v>
      </c>
      <c r="F167">
        <v>10484000</v>
      </c>
      <c r="G167" s="2">
        <v>45595</v>
      </c>
      <c r="H167" s="3">
        <f>SUM(D:D)</f>
        <v>10447536600</v>
      </c>
      <c r="I167" s="4">
        <f>SUM(F:F)</f>
        <v>2099369250</v>
      </c>
      <c r="J167" s="4">
        <f>SUM(E:E)</f>
        <v>8348167350</v>
      </c>
      <c r="K167">
        <f>SUM(C:C)</f>
        <v>1017885</v>
      </c>
      <c r="L167">
        <f>MONTH(G:G)</f>
        <v>10</v>
      </c>
      <c r="M167">
        <f>YEAR(G:G)</f>
        <v>2024</v>
      </c>
    </row>
    <row r="168" spans="1:13" x14ac:dyDescent="0.25">
      <c r="A168" s="1" t="s">
        <v>16</v>
      </c>
      <c r="B168" s="1" t="s">
        <v>14</v>
      </c>
      <c r="C168">
        <v>440</v>
      </c>
      <c r="D168">
        <v>528000</v>
      </c>
      <c r="E168">
        <v>352000</v>
      </c>
      <c r="F168">
        <v>176000</v>
      </c>
      <c r="G168" s="2">
        <v>45582</v>
      </c>
      <c r="H168" s="3">
        <f>SUM(D:D)</f>
        <v>10447536600</v>
      </c>
      <c r="I168" s="4">
        <f>SUM(F:F)</f>
        <v>2099369250</v>
      </c>
      <c r="J168" s="4">
        <f>SUM(E:E)</f>
        <v>8348167350</v>
      </c>
      <c r="K168">
        <f>SUM(C:C)</f>
        <v>1017885</v>
      </c>
      <c r="L168">
        <f>MONTH(G:G)</f>
        <v>10</v>
      </c>
      <c r="M168">
        <f>YEAR(G:G)</f>
        <v>2024</v>
      </c>
    </row>
    <row r="169" spans="1:13" x14ac:dyDescent="0.25">
      <c r="A169" s="1" t="s">
        <v>20</v>
      </c>
      <c r="B169" s="1" t="s">
        <v>19</v>
      </c>
      <c r="C169">
        <v>451</v>
      </c>
      <c r="D169">
        <v>20295000</v>
      </c>
      <c r="E169">
        <v>17138000</v>
      </c>
      <c r="F169">
        <v>3157000</v>
      </c>
      <c r="G169" s="2">
        <v>45589</v>
      </c>
      <c r="H169" s="3">
        <f>SUM(D:D)</f>
        <v>10447536600</v>
      </c>
      <c r="I169" s="4">
        <f>SUM(F:F)</f>
        <v>2099369250</v>
      </c>
      <c r="J169" s="4">
        <f>SUM(E:E)</f>
        <v>8348167350</v>
      </c>
      <c r="K169">
        <f>SUM(C:C)</f>
        <v>1017885</v>
      </c>
      <c r="L169">
        <f>MONTH(G:G)</f>
        <v>10</v>
      </c>
      <c r="M169">
        <f>YEAR(G:G)</f>
        <v>2024</v>
      </c>
    </row>
    <row r="170" spans="1:13" x14ac:dyDescent="0.25">
      <c r="A170" s="1" t="s">
        <v>16</v>
      </c>
      <c r="B170" s="1" t="s">
        <v>12</v>
      </c>
      <c r="C170">
        <v>2674</v>
      </c>
      <c r="D170">
        <v>3208800</v>
      </c>
      <c r="E170">
        <v>2272900</v>
      </c>
      <c r="F170">
        <v>935900</v>
      </c>
      <c r="G170" s="2">
        <v>45593</v>
      </c>
      <c r="H170" s="3">
        <f>SUM(D:D)</f>
        <v>10447536600</v>
      </c>
      <c r="I170" s="4">
        <f>SUM(F:F)</f>
        <v>2099369250</v>
      </c>
      <c r="J170" s="4">
        <f>SUM(E:E)</f>
        <v>8348167350</v>
      </c>
      <c r="K170">
        <f>SUM(C:C)</f>
        <v>1017885</v>
      </c>
      <c r="L170">
        <f>MONTH(G:G)</f>
        <v>10</v>
      </c>
      <c r="M170">
        <f>YEAR(G:G)</f>
        <v>2024</v>
      </c>
    </row>
    <row r="171" spans="1:13" x14ac:dyDescent="0.25">
      <c r="A171" s="1" t="s">
        <v>18</v>
      </c>
      <c r="B171" s="1" t="s">
        <v>12</v>
      </c>
      <c r="C171">
        <v>1215</v>
      </c>
      <c r="D171">
        <v>1458000</v>
      </c>
      <c r="E171">
        <v>1032750</v>
      </c>
      <c r="F171">
        <v>425250</v>
      </c>
      <c r="G171" s="2">
        <v>45579</v>
      </c>
      <c r="H171" s="3">
        <f>SUM(D:D)</f>
        <v>10447536600</v>
      </c>
      <c r="I171" s="4">
        <f>SUM(F:F)</f>
        <v>2099369250</v>
      </c>
      <c r="J171" s="4">
        <f>SUM(E:E)</f>
        <v>8348167350</v>
      </c>
      <c r="K171">
        <f>SUM(C:C)</f>
        <v>1017885</v>
      </c>
      <c r="L171">
        <f>MONTH(G:G)</f>
        <v>10</v>
      </c>
      <c r="M171">
        <f>YEAR(G:G)</f>
        <v>2024</v>
      </c>
    </row>
    <row r="172" spans="1:13" x14ac:dyDescent="0.25">
      <c r="A172" s="1" t="s">
        <v>16</v>
      </c>
      <c r="B172" s="1" t="s">
        <v>10</v>
      </c>
      <c r="C172">
        <v>934</v>
      </c>
      <c r="D172">
        <v>3269000</v>
      </c>
      <c r="E172">
        <v>2428400</v>
      </c>
      <c r="F172">
        <v>840600</v>
      </c>
      <c r="G172" s="2">
        <v>45578</v>
      </c>
      <c r="H172" s="3">
        <f>SUM(D:D)</f>
        <v>10447536600</v>
      </c>
      <c r="I172" s="4">
        <f>SUM(F:F)</f>
        <v>2099369250</v>
      </c>
      <c r="J172" s="4">
        <f>SUM(E:E)</f>
        <v>8348167350</v>
      </c>
      <c r="K172">
        <f>SUM(C:C)</f>
        <v>1017885</v>
      </c>
      <c r="L172">
        <f>MONTH(G:G)</f>
        <v>10</v>
      </c>
      <c r="M172">
        <f>YEAR(G:G)</f>
        <v>2024</v>
      </c>
    </row>
    <row r="173" spans="1:13" x14ac:dyDescent="0.25">
      <c r="A173" s="1" t="s">
        <v>16</v>
      </c>
      <c r="B173" s="1" t="s">
        <v>14</v>
      </c>
      <c r="C173">
        <v>2516</v>
      </c>
      <c r="D173">
        <v>3019200</v>
      </c>
      <c r="E173">
        <v>2012800</v>
      </c>
      <c r="F173">
        <v>1006400</v>
      </c>
      <c r="G173" s="2">
        <v>45577</v>
      </c>
      <c r="H173" s="3">
        <f>SUM(D:D)</f>
        <v>10447536600</v>
      </c>
      <c r="I173" s="4">
        <f>SUM(F:F)</f>
        <v>2099369250</v>
      </c>
      <c r="J173" s="4">
        <f>SUM(E:E)</f>
        <v>8348167350</v>
      </c>
      <c r="K173">
        <f>SUM(C:C)</f>
        <v>1017885</v>
      </c>
      <c r="L173">
        <f>MONTH(G:G)</f>
        <v>10</v>
      </c>
      <c r="M173">
        <f>YEAR(G:G)</f>
        <v>2024</v>
      </c>
    </row>
    <row r="174" spans="1:13" x14ac:dyDescent="0.25">
      <c r="A174" s="1" t="s">
        <v>18</v>
      </c>
      <c r="B174" s="1" t="s">
        <v>23</v>
      </c>
      <c r="C174">
        <v>606</v>
      </c>
      <c r="D174">
        <v>3030000</v>
      </c>
      <c r="E174">
        <v>2545200</v>
      </c>
      <c r="F174">
        <v>484800</v>
      </c>
      <c r="G174" s="2">
        <v>45578</v>
      </c>
      <c r="H174" s="3">
        <f>SUM(D:D)</f>
        <v>10447536600</v>
      </c>
      <c r="I174" s="4">
        <f>SUM(F:F)</f>
        <v>2099369250</v>
      </c>
      <c r="J174" s="4">
        <f>SUM(E:E)</f>
        <v>8348167350</v>
      </c>
      <c r="K174">
        <f>SUM(C:C)</f>
        <v>1017885</v>
      </c>
      <c r="L174">
        <f>MONTH(G:G)</f>
        <v>10</v>
      </c>
      <c r="M174">
        <f>YEAR(G:G)</f>
        <v>2024</v>
      </c>
    </row>
    <row r="175" spans="1:13" x14ac:dyDescent="0.25">
      <c r="A175" s="1" t="s">
        <v>15</v>
      </c>
      <c r="B175" s="1" t="s">
        <v>17</v>
      </c>
      <c r="C175">
        <v>1905</v>
      </c>
      <c r="D175">
        <v>28575000</v>
      </c>
      <c r="E175">
        <v>20955000</v>
      </c>
      <c r="F175">
        <v>7620000</v>
      </c>
      <c r="G175" s="2">
        <v>45568</v>
      </c>
      <c r="H175" s="3">
        <f>SUM(D:D)</f>
        <v>10447536600</v>
      </c>
      <c r="I175" s="4">
        <f>SUM(F:F)</f>
        <v>2099369250</v>
      </c>
      <c r="J175" s="4">
        <f>SUM(E:E)</f>
        <v>8348167350</v>
      </c>
      <c r="K175">
        <f>SUM(C:C)</f>
        <v>1017885</v>
      </c>
      <c r="L175">
        <f>MONTH(G:G)</f>
        <v>10</v>
      </c>
      <c r="M175">
        <f>YEAR(G:G)</f>
        <v>2024</v>
      </c>
    </row>
    <row r="176" spans="1:13" x14ac:dyDescent="0.25">
      <c r="A176" s="1" t="s">
        <v>21</v>
      </c>
      <c r="B176" s="1" t="s">
        <v>8</v>
      </c>
      <c r="C176">
        <v>1465</v>
      </c>
      <c r="D176">
        <v>4395000</v>
      </c>
      <c r="E176">
        <v>2637000</v>
      </c>
      <c r="F176">
        <v>1758000</v>
      </c>
      <c r="G176" s="2">
        <v>45593</v>
      </c>
      <c r="H176" s="3">
        <f>SUM(D:D)</f>
        <v>10447536600</v>
      </c>
      <c r="I176" s="4">
        <f>SUM(F:F)</f>
        <v>2099369250</v>
      </c>
      <c r="J176" s="4">
        <f>SUM(E:E)</f>
        <v>8348167350</v>
      </c>
      <c r="K176">
        <f>SUM(C:C)</f>
        <v>1017885</v>
      </c>
      <c r="L176">
        <f>MONTH(G:G)</f>
        <v>10</v>
      </c>
      <c r="M176">
        <f>YEAR(G:G)</f>
        <v>2024</v>
      </c>
    </row>
    <row r="177" spans="1:13" x14ac:dyDescent="0.25">
      <c r="A177" s="1" t="s">
        <v>15</v>
      </c>
      <c r="B177" s="1" t="s">
        <v>8</v>
      </c>
      <c r="C177">
        <v>291</v>
      </c>
      <c r="D177">
        <v>873000</v>
      </c>
      <c r="E177">
        <v>523800</v>
      </c>
      <c r="F177">
        <v>349200</v>
      </c>
      <c r="G177" s="2">
        <v>45574</v>
      </c>
      <c r="H177" s="3">
        <f>SUM(D:D)</f>
        <v>10447536600</v>
      </c>
      <c r="I177" s="4">
        <f>SUM(F:F)</f>
        <v>2099369250</v>
      </c>
      <c r="J177" s="4">
        <f>SUM(E:E)</f>
        <v>8348167350</v>
      </c>
      <c r="K177">
        <f>SUM(C:C)</f>
        <v>1017885</v>
      </c>
      <c r="L177">
        <f>MONTH(G:G)</f>
        <v>10</v>
      </c>
      <c r="M177">
        <f>YEAR(G:G)</f>
        <v>2024</v>
      </c>
    </row>
    <row r="178" spans="1:13" x14ac:dyDescent="0.25">
      <c r="A178" s="1" t="s">
        <v>22</v>
      </c>
      <c r="B178" s="1" t="s">
        <v>17</v>
      </c>
      <c r="C178">
        <v>2898</v>
      </c>
      <c r="D178">
        <v>43470000</v>
      </c>
      <c r="E178">
        <v>31878000</v>
      </c>
      <c r="F178">
        <v>11592000</v>
      </c>
      <c r="G178" s="2">
        <v>45569</v>
      </c>
      <c r="H178" s="3">
        <f>SUM(D:D)</f>
        <v>10447536600</v>
      </c>
      <c r="I178" s="4">
        <f>SUM(F:F)</f>
        <v>2099369250</v>
      </c>
      <c r="J178" s="4">
        <f>SUM(E:E)</f>
        <v>8348167350</v>
      </c>
      <c r="K178">
        <f>SUM(C:C)</f>
        <v>1017885</v>
      </c>
      <c r="L178">
        <f>MONTH(G:G)</f>
        <v>10</v>
      </c>
      <c r="M178">
        <f>YEAR(G:G)</f>
        <v>2024</v>
      </c>
    </row>
    <row r="179" spans="1:13" x14ac:dyDescent="0.25">
      <c r="A179" s="1" t="s">
        <v>16</v>
      </c>
      <c r="B179" s="1" t="s">
        <v>10</v>
      </c>
      <c r="C179">
        <v>366</v>
      </c>
      <c r="D179">
        <v>1281000</v>
      </c>
      <c r="E179">
        <v>951600</v>
      </c>
      <c r="F179">
        <v>329400</v>
      </c>
      <c r="G179" s="2">
        <v>45593</v>
      </c>
      <c r="H179" s="3">
        <f>SUM(D:D)</f>
        <v>10447536600</v>
      </c>
      <c r="I179" s="4">
        <f>SUM(F:F)</f>
        <v>2099369250</v>
      </c>
      <c r="J179" s="4">
        <f>SUM(E:E)</f>
        <v>8348167350</v>
      </c>
      <c r="K179">
        <f>SUM(C:C)</f>
        <v>1017885</v>
      </c>
      <c r="L179">
        <f>MONTH(G:G)</f>
        <v>10</v>
      </c>
      <c r="M179">
        <f>YEAR(G:G)</f>
        <v>2024</v>
      </c>
    </row>
    <row r="180" spans="1:13" x14ac:dyDescent="0.25">
      <c r="A180" s="1" t="s">
        <v>20</v>
      </c>
      <c r="B180" s="1" t="s">
        <v>12</v>
      </c>
      <c r="C180">
        <v>2410</v>
      </c>
      <c r="D180">
        <v>2892000</v>
      </c>
      <c r="E180">
        <v>2048500</v>
      </c>
      <c r="F180">
        <v>843500</v>
      </c>
      <c r="G180" s="2">
        <v>45596</v>
      </c>
      <c r="H180" s="3">
        <f>SUM(D:D)</f>
        <v>10447536600</v>
      </c>
      <c r="I180" s="4">
        <f>SUM(F:F)</f>
        <v>2099369250</v>
      </c>
      <c r="J180" s="4">
        <f>SUM(E:E)</f>
        <v>8348167350</v>
      </c>
      <c r="K180">
        <f>SUM(C:C)</f>
        <v>1017885</v>
      </c>
      <c r="L180">
        <f>MONTH(G:G)</f>
        <v>10</v>
      </c>
      <c r="M180">
        <f>YEAR(G:G)</f>
        <v>2024</v>
      </c>
    </row>
    <row r="181" spans="1:13" x14ac:dyDescent="0.25">
      <c r="A181" s="1" t="s">
        <v>20</v>
      </c>
      <c r="B181" s="1" t="s">
        <v>10</v>
      </c>
      <c r="C181">
        <v>1440</v>
      </c>
      <c r="D181">
        <v>5040000</v>
      </c>
      <c r="E181">
        <v>3744000</v>
      </c>
      <c r="F181">
        <v>1296000</v>
      </c>
      <c r="G181" s="2">
        <v>45580</v>
      </c>
      <c r="H181" s="3">
        <f>SUM(D:D)</f>
        <v>10447536600</v>
      </c>
      <c r="I181" s="4">
        <f>SUM(F:F)</f>
        <v>2099369250</v>
      </c>
      <c r="J181" s="4">
        <f>SUM(E:E)</f>
        <v>8348167350</v>
      </c>
      <c r="K181">
        <f>SUM(C:C)</f>
        <v>1017885</v>
      </c>
      <c r="L181">
        <f>MONTH(G:G)</f>
        <v>10</v>
      </c>
      <c r="M181">
        <f>YEAR(G:G)</f>
        <v>2024</v>
      </c>
    </row>
    <row r="182" spans="1:13" x14ac:dyDescent="0.25">
      <c r="A182" s="1" t="s">
        <v>22</v>
      </c>
      <c r="B182" s="1" t="s">
        <v>19</v>
      </c>
      <c r="C182">
        <v>1324</v>
      </c>
      <c r="D182">
        <v>59580000</v>
      </c>
      <c r="E182">
        <v>50312000</v>
      </c>
      <c r="F182">
        <v>9268000</v>
      </c>
      <c r="G182" s="2">
        <v>45568</v>
      </c>
      <c r="H182" s="3">
        <f>SUM(D:D)</f>
        <v>10447536600</v>
      </c>
      <c r="I182" s="4">
        <f>SUM(F:F)</f>
        <v>2099369250</v>
      </c>
      <c r="J182" s="4">
        <f>SUM(E:E)</f>
        <v>8348167350</v>
      </c>
      <c r="K182">
        <f>SUM(C:C)</f>
        <v>1017885</v>
      </c>
      <c r="L182">
        <f>MONTH(G:G)</f>
        <v>10</v>
      </c>
      <c r="M182">
        <f>YEAR(G:G)</f>
        <v>2024</v>
      </c>
    </row>
    <row r="183" spans="1:13" x14ac:dyDescent="0.25">
      <c r="A183" s="1" t="s">
        <v>9</v>
      </c>
      <c r="B183" s="1" t="s">
        <v>10</v>
      </c>
      <c r="C183">
        <v>1649</v>
      </c>
      <c r="D183">
        <v>5771500</v>
      </c>
      <c r="E183">
        <v>4287400</v>
      </c>
      <c r="F183">
        <v>1484100</v>
      </c>
      <c r="G183" s="2">
        <v>45602</v>
      </c>
      <c r="H183" s="3">
        <f>SUM(D:D)</f>
        <v>10447536600</v>
      </c>
      <c r="I183" s="4">
        <f>SUM(F:F)</f>
        <v>2099369250</v>
      </c>
      <c r="J183" s="4">
        <f>SUM(E:E)</f>
        <v>8348167350</v>
      </c>
      <c r="K183">
        <f>SUM(C:C)</f>
        <v>1017885</v>
      </c>
      <c r="L183">
        <f>MONTH(G:G)</f>
        <v>11</v>
      </c>
      <c r="M183">
        <f>YEAR(G:G)</f>
        <v>2024</v>
      </c>
    </row>
    <row r="184" spans="1:13" x14ac:dyDescent="0.25">
      <c r="A184" s="1" t="s">
        <v>16</v>
      </c>
      <c r="B184" s="1" t="s">
        <v>17</v>
      </c>
      <c r="C184">
        <v>1302</v>
      </c>
      <c r="D184">
        <v>19530000</v>
      </c>
      <c r="E184">
        <v>14322000</v>
      </c>
      <c r="F184">
        <v>5208000</v>
      </c>
      <c r="G184" s="2">
        <v>45619</v>
      </c>
      <c r="H184" s="3">
        <f>SUM(D:D)</f>
        <v>10447536600</v>
      </c>
      <c r="I184" s="4">
        <f>SUM(F:F)</f>
        <v>2099369250</v>
      </c>
      <c r="J184" s="4">
        <f>SUM(E:E)</f>
        <v>8348167350</v>
      </c>
      <c r="K184">
        <f>SUM(C:C)</f>
        <v>1017885</v>
      </c>
      <c r="L184">
        <f>MONTH(G:G)</f>
        <v>11</v>
      </c>
      <c r="M184">
        <f>YEAR(G:G)</f>
        <v>2024</v>
      </c>
    </row>
    <row r="185" spans="1:13" x14ac:dyDescent="0.25">
      <c r="A185" s="1" t="s">
        <v>22</v>
      </c>
      <c r="B185" s="1" t="s">
        <v>12</v>
      </c>
      <c r="C185">
        <v>1341</v>
      </c>
      <c r="D185">
        <v>1609200</v>
      </c>
      <c r="E185">
        <v>1139850</v>
      </c>
      <c r="F185">
        <v>469350</v>
      </c>
      <c r="G185" s="2">
        <v>45615</v>
      </c>
      <c r="H185" s="3">
        <f>SUM(D:D)</f>
        <v>10447536600</v>
      </c>
      <c r="I185" s="4">
        <f>SUM(F:F)</f>
        <v>2099369250</v>
      </c>
      <c r="J185" s="4">
        <f>SUM(E:E)</f>
        <v>8348167350</v>
      </c>
      <c r="K185">
        <f>SUM(C:C)</f>
        <v>1017885</v>
      </c>
      <c r="L185">
        <f>MONTH(G:G)</f>
        <v>11</v>
      </c>
      <c r="M185">
        <f>YEAR(G:G)</f>
        <v>2024</v>
      </c>
    </row>
    <row r="186" spans="1:13" x14ac:dyDescent="0.25">
      <c r="A186" s="1" t="s">
        <v>22</v>
      </c>
      <c r="B186" s="1" t="s">
        <v>12</v>
      </c>
      <c r="C186">
        <v>2469</v>
      </c>
      <c r="D186">
        <v>2962800</v>
      </c>
      <c r="E186">
        <v>2098650</v>
      </c>
      <c r="F186">
        <v>864150</v>
      </c>
      <c r="G186" s="2">
        <v>45603</v>
      </c>
      <c r="H186" s="3">
        <f>SUM(D:D)</f>
        <v>10447536600</v>
      </c>
      <c r="I186" s="4">
        <f>SUM(F:F)</f>
        <v>2099369250</v>
      </c>
      <c r="J186" s="4">
        <f>SUM(E:E)</f>
        <v>8348167350</v>
      </c>
      <c r="K186">
        <f>SUM(C:C)</f>
        <v>1017885</v>
      </c>
      <c r="L186">
        <f>MONTH(G:G)</f>
        <v>11</v>
      </c>
      <c r="M186">
        <f>YEAR(G:G)</f>
        <v>2024</v>
      </c>
    </row>
    <row r="187" spans="1:13" x14ac:dyDescent="0.25">
      <c r="A187" s="1" t="s">
        <v>13</v>
      </c>
      <c r="B187" s="1" t="s">
        <v>8</v>
      </c>
      <c r="C187">
        <v>275</v>
      </c>
      <c r="D187">
        <v>825000</v>
      </c>
      <c r="E187">
        <v>495000</v>
      </c>
      <c r="F187">
        <v>330000</v>
      </c>
      <c r="G187" s="2">
        <v>45602</v>
      </c>
      <c r="H187" s="3">
        <f>SUM(D:D)</f>
        <v>10447536600</v>
      </c>
      <c r="I187" s="4">
        <f>SUM(F:F)</f>
        <v>2099369250</v>
      </c>
      <c r="J187" s="4">
        <f>SUM(E:E)</f>
        <v>8348167350</v>
      </c>
      <c r="K187">
        <f>SUM(C:C)</f>
        <v>1017885</v>
      </c>
      <c r="L187">
        <f>MONTH(G:G)</f>
        <v>11</v>
      </c>
      <c r="M187">
        <f>YEAR(G:G)</f>
        <v>2024</v>
      </c>
    </row>
    <row r="188" spans="1:13" x14ac:dyDescent="0.25">
      <c r="A188" s="1" t="s">
        <v>18</v>
      </c>
      <c r="B188" s="1" t="s">
        <v>10</v>
      </c>
      <c r="C188">
        <v>1964</v>
      </c>
      <c r="D188">
        <v>6874000</v>
      </c>
      <c r="E188">
        <v>5106400</v>
      </c>
      <c r="F188">
        <v>1767600</v>
      </c>
      <c r="G188" s="2">
        <v>45612</v>
      </c>
      <c r="H188" s="3">
        <f>SUM(D:D)</f>
        <v>10447536600</v>
      </c>
      <c r="I188" s="4">
        <f>SUM(F:F)</f>
        <v>2099369250</v>
      </c>
      <c r="J188" s="4">
        <f>SUM(E:E)</f>
        <v>8348167350</v>
      </c>
      <c r="K188">
        <f>SUM(C:C)</f>
        <v>1017885</v>
      </c>
      <c r="L188">
        <f>MONTH(G:G)</f>
        <v>11</v>
      </c>
      <c r="M188">
        <f>YEAR(G:G)</f>
        <v>2024</v>
      </c>
    </row>
    <row r="189" spans="1:13" x14ac:dyDescent="0.25">
      <c r="A189" s="1" t="s">
        <v>15</v>
      </c>
      <c r="B189" s="1" t="s">
        <v>23</v>
      </c>
      <c r="C189">
        <v>2835</v>
      </c>
      <c r="D189">
        <v>14175000</v>
      </c>
      <c r="E189">
        <v>11907000</v>
      </c>
      <c r="F189">
        <v>2268000</v>
      </c>
      <c r="G189" s="2">
        <v>45602</v>
      </c>
      <c r="H189" s="3">
        <f>SUM(D:D)</f>
        <v>10447536600</v>
      </c>
      <c r="I189" s="4">
        <f>SUM(F:F)</f>
        <v>2099369250</v>
      </c>
      <c r="J189" s="4">
        <f>SUM(E:E)</f>
        <v>8348167350</v>
      </c>
      <c r="K189">
        <f>SUM(C:C)</f>
        <v>1017885</v>
      </c>
      <c r="L189">
        <f>MONTH(G:G)</f>
        <v>11</v>
      </c>
      <c r="M189">
        <f>YEAR(G:G)</f>
        <v>2024</v>
      </c>
    </row>
    <row r="190" spans="1:13" x14ac:dyDescent="0.25">
      <c r="A190" s="1" t="s">
        <v>11</v>
      </c>
      <c r="B190" s="1" t="s">
        <v>17</v>
      </c>
      <c r="C190">
        <v>523</v>
      </c>
      <c r="D190">
        <v>7845000</v>
      </c>
      <c r="E190">
        <v>5753000</v>
      </c>
      <c r="F190">
        <v>2092000</v>
      </c>
      <c r="G190" s="2">
        <v>45599</v>
      </c>
      <c r="H190" s="3">
        <f>SUM(D:D)</f>
        <v>10447536600</v>
      </c>
      <c r="I190" s="4">
        <f>SUM(F:F)</f>
        <v>2099369250</v>
      </c>
      <c r="J190" s="4">
        <f>SUM(E:E)</f>
        <v>8348167350</v>
      </c>
      <c r="K190">
        <f>SUM(C:C)</f>
        <v>1017885</v>
      </c>
      <c r="L190">
        <f>MONTH(G:G)</f>
        <v>11</v>
      </c>
      <c r="M190">
        <f>YEAR(G:G)</f>
        <v>2024</v>
      </c>
    </row>
    <row r="191" spans="1:13" x14ac:dyDescent="0.25">
      <c r="A191" s="1" t="s">
        <v>18</v>
      </c>
      <c r="B191" s="1" t="s">
        <v>10</v>
      </c>
      <c r="C191">
        <v>2296</v>
      </c>
      <c r="D191">
        <v>8036000</v>
      </c>
      <c r="E191">
        <v>5969600</v>
      </c>
      <c r="F191">
        <v>2066400</v>
      </c>
      <c r="G191" s="2">
        <v>45620</v>
      </c>
      <c r="H191" s="3">
        <f>SUM(D:D)</f>
        <v>10447536600</v>
      </c>
      <c r="I191" s="4">
        <f>SUM(F:F)</f>
        <v>2099369250</v>
      </c>
      <c r="J191" s="4">
        <f>SUM(E:E)</f>
        <v>8348167350</v>
      </c>
      <c r="K191">
        <f>SUM(C:C)</f>
        <v>1017885</v>
      </c>
      <c r="L191">
        <f>MONTH(G:G)</f>
        <v>11</v>
      </c>
      <c r="M191">
        <f>YEAR(G:G)</f>
        <v>2024</v>
      </c>
    </row>
    <row r="192" spans="1:13" x14ac:dyDescent="0.25">
      <c r="A192" s="1" t="s">
        <v>16</v>
      </c>
      <c r="B192" s="1" t="s">
        <v>19</v>
      </c>
      <c r="C192">
        <v>1933</v>
      </c>
      <c r="D192">
        <v>86985000</v>
      </c>
      <c r="E192">
        <v>73454000</v>
      </c>
      <c r="F192">
        <v>13531000</v>
      </c>
      <c r="G192" s="2">
        <v>45605</v>
      </c>
      <c r="H192" s="3">
        <f>SUM(D:D)</f>
        <v>10447536600</v>
      </c>
      <c r="I192" s="4">
        <f>SUM(F:F)</f>
        <v>2099369250</v>
      </c>
      <c r="J192" s="4">
        <f>SUM(E:E)</f>
        <v>8348167350</v>
      </c>
      <c r="K192">
        <f>SUM(C:C)</f>
        <v>1017885</v>
      </c>
      <c r="L192">
        <f>MONTH(G:G)</f>
        <v>11</v>
      </c>
      <c r="M192">
        <f>YEAR(G:G)</f>
        <v>2024</v>
      </c>
    </row>
    <row r="193" spans="1:13" x14ac:dyDescent="0.25">
      <c r="A193" s="1" t="s">
        <v>9</v>
      </c>
      <c r="B193" s="1" t="s">
        <v>23</v>
      </c>
      <c r="C193">
        <v>1849</v>
      </c>
      <c r="D193">
        <v>9245000</v>
      </c>
      <c r="E193">
        <v>7765800</v>
      </c>
      <c r="F193">
        <v>1479200</v>
      </c>
      <c r="G193" s="2">
        <v>45605</v>
      </c>
      <c r="H193" s="3">
        <f>SUM(D:D)</f>
        <v>10447536600</v>
      </c>
      <c r="I193" s="4">
        <f>SUM(F:F)</f>
        <v>2099369250</v>
      </c>
      <c r="J193" s="4">
        <f>SUM(E:E)</f>
        <v>8348167350</v>
      </c>
      <c r="K193">
        <f>SUM(C:C)</f>
        <v>1017885</v>
      </c>
      <c r="L193">
        <f>MONTH(G:G)</f>
        <v>11</v>
      </c>
      <c r="M193">
        <f>YEAR(G:G)</f>
        <v>2024</v>
      </c>
    </row>
    <row r="194" spans="1:13" x14ac:dyDescent="0.25">
      <c r="A194" s="1" t="s">
        <v>21</v>
      </c>
      <c r="B194" s="1" t="s">
        <v>14</v>
      </c>
      <c r="C194">
        <v>1629</v>
      </c>
      <c r="D194">
        <v>1954800</v>
      </c>
      <c r="E194">
        <v>1303200</v>
      </c>
      <c r="F194">
        <v>651600</v>
      </c>
      <c r="G194" s="2">
        <v>45618</v>
      </c>
      <c r="H194" s="3">
        <f>SUM(D:D)</f>
        <v>10447536600</v>
      </c>
      <c r="I194" s="4">
        <f>SUM(F:F)</f>
        <v>2099369250</v>
      </c>
      <c r="J194" s="4">
        <f>SUM(E:E)</f>
        <v>8348167350</v>
      </c>
      <c r="K194">
        <f>SUM(C:C)</f>
        <v>1017885</v>
      </c>
      <c r="L194">
        <f>MONTH(G:G)</f>
        <v>11</v>
      </c>
      <c r="M194">
        <f>YEAR(G:G)</f>
        <v>2024</v>
      </c>
    </row>
    <row r="195" spans="1:13" x14ac:dyDescent="0.25">
      <c r="A195" s="1" t="s">
        <v>11</v>
      </c>
      <c r="B195" s="1" t="s">
        <v>10</v>
      </c>
      <c r="C195">
        <v>843</v>
      </c>
      <c r="D195">
        <v>2950500</v>
      </c>
      <c r="E195">
        <v>2191800</v>
      </c>
      <c r="F195">
        <v>758700</v>
      </c>
      <c r="G195" s="2">
        <v>45636</v>
      </c>
      <c r="H195" s="3">
        <f>SUM(D:D)</f>
        <v>10447536600</v>
      </c>
      <c r="I195" s="4">
        <f>SUM(F:F)</f>
        <v>2099369250</v>
      </c>
      <c r="J195" s="4">
        <f>SUM(E:E)</f>
        <v>8348167350</v>
      </c>
      <c r="K195">
        <f>SUM(C:C)</f>
        <v>1017885</v>
      </c>
      <c r="L195">
        <f>MONTH(G:G)</f>
        <v>12</v>
      </c>
      <c r="M195">
        <f>YEAR(G:G)</f>
        <v>2024</v>
      </c>
    </row>
    <row r="196" spans="1:13" x14ac:dyDescent="0.25">
      <c r="A196" s="1" t="s">
        <v>18</v>
      </c>
      <c r="B196" s="1" t="s">
        <v>12</v>
      </c>
      <c r="C196">
        <v>1186</v>
      </c>
      <c r="D196">
        <v>1423200</v>
      </c>
      <c r="E196">
        <v>1008100</v>
      </c>
      <c r="F196">
        <v>415100</v>
      </c>
      <c r="G196" s="2">
        <v>45652</v>
      </c>
      <c r="H196" s="3">
        <f>SUM(D:D)</f>
        <v>10447536600</v>
      </c>
      <c r="I196" s="4">
        <f>SUM(F:F)</f>
        <v>2099369250</v>
      </c>
      <c r="J196" s="4">
        <f>SUM(E:E)</f>
        <v>8348167350</v>
      </c>
      <c r="K196">
        <f>SUM(C:C)</f>
        <v>1017885</v>
      </c>
      <c r="L196">
        <f>MONTH(G:G)</f>
        <v>12</v>
      </c>
      <c r="M196">
        <f>YEAR(G:G)</f>
        <v>2024</v>
      </c>
    </row>
    <row r="197" spans="1:13" x14ac:dyDescent="0.25">
      <c r="A197" s="1" t="s">
        <v>18</v>
      </c>
      <c r="B197" s="1" t="s">
        <v>14</v>
      </c>
      <c r="C197">
        <v>379</v>
      </c>
      <c r="D197">
        <v>454800</v>
      </c>
      <c r="E197">
        <v>303200</v>
      </c>
      <c r="F197">
        <v>151600</v>
      </c>
      <c r="G197" s="2">
        <v>45634</v>
      </c>
      <c r="H197" s="3">
        <f>SUM(D:D)</f>
        <v>10447536600</v>
      </c>
      <c r="I197" s="4">
        <f>SUM(F:F)</f>
        <v>2099369250</v>
      </c>
      <c r="J197" s="4">
        <f>SUM(E:E)</f>
        <v>8348167350</v>
      </c>
      <c r="K197">
        <f>SUM(C:C)</f>
        <v>1017885</v>
      </c>
      <c r="L197">
        <f>MONTH(G:G)</f>
        <v>12</v>
      </c>
      <c r="M197">
        <f>YEAR(G:G)</f>
        <v>2024</v>
      </c>
    </row>
    <row r="198" spans="1:13" x14ac:dyDescent="0.25">
      <c r="A198" s="1" t="s">
        <v>15</v>
      </c>
      <c r="B198" s="1" t="s">
        <v>17</v>
      </c>
      <c r="C198">
        <v>61</v>
      </c>
      <c r="D198">
        <v>915000</v>
      </c>
      <c r="E198">
        <v>671000</v>
      </c>
      <c r="F198">
        <v>244000</v>
      </c>
      <c r="G198" s="2">
        <v>45655</v>
      </c>
      <c r="H198" s="3">
        <f>SUM(D:D)</f>
        <v>10447536600</v>
      </c>
      <c r="I198" s="4">
        <f>SUM(F:F)</f>
        <v>2099369250</v>
      </c>
      <c r="J198" s="4">
        <f>SUM(E:E)</f>
        <v>8348167350</v>
      </c>
      <c r="K198">
        <f>SUM(C:C)</f>
        <v>1017885</v>
      </c>
      <c r="L198">
        <f>MONTH(G:G)</f>
        <v>12</v>
      </c>
      <c r="M198">
        <f>YEAR(G:G)</f>
        <v>2024</v>
      </c>
    </row>
    <row r="199" spans="1:13" x14ac:dyDescent="0.25">
      <c r="A199" s="1" t="s">
        <v>13</v>
      </c>
      <c r="B199" s="1" t="s">
        <v>23</v>
      </c>
      <c r="C199">
        <v>2471</v>
      </c>
      <c r="D199">
        <v>12355000</v>
      </c>
      <c r="E199">
        <v>10378200</v>
      </c>
      <c r="F199">
        <v>1976800</v>
      </c>
      <c r="G199" s="2">
        <v>45627</v>
      </c>
      <c r="H199" s="3">
        <f>SUM(D:D)</f>
        <v>10447536600</v>
      </c>
      <c r="I199" s="4">
        <f>SUM(F:F)</f>
        <v>2099369250</v>
      </c>
      <c r="J199" s="4">
        <f>SUM(E:E)</f>
        <v>8348167350</v>
      </c>
      <c r="K199">
        <f>SUM(C:C)</f>
        <v>1017885</v>
      </c>
      <c r="L199">
        <f>MONTH(G:G)</f>
        <v>12</v>
      </c>
      <c r="M199">
        <f>YEAR(G:G)</f>
        <v>2024</v>
      </c>
    </row>
    <row r="200" spans="1:13" x14ac:dyDescent="0.25">
      <c r="A200" s="1" t="s">
        <v>15</v>
      </c>
      <c r="B200" s="1" t="s">
        <v>17</v>
      </c>
      <c r="C200">
        <v>876</v>
      </c>
      <c r="D200">
        <v>13140000</v>
      </c>
      <c r="E200">
        <v>9636000</v>
      </c>
      <c r="F200">
        <v>3504000</v>
      </c>
      <c r="G200" s="2">
        <v>45641</v>
      </c>
      <c r="H200" s="3">
        <f>SUM(D:D)</f>
        <v>10447536600</v>
      </c>
      <c r="I200" s="4">
        <f>SUM(F:F)</f>
        <v>2099369250</v>
      </c>
      <c r="J200" s="4">
        <f>SUM(E:E)</f>
        <v>8348167350</v>
      </c>
      <c r="K200">
        <f>SUM(C:C)</f>
        <v>1017885</v>
      </c>
      <c r="L200">
        <f>MONTH(G:G)</f>
        <v>12</v>
      </c>
      <c r="M200">
        <f>YEAR(G:G)</f>
        <v>2024</v>
      </c>
    </row>
    <row r="201" spans="1:13" x14ac:dyDescent="0.25">
      <c r="A201" s="1" t="s">
        <v>16</v>
      </c>
      <c r="B201" s="1" t="s">
        <v>14</v>
      </c>
      <c r="C201">
        <v>2031</v>
      </c>
      <c r="D201">
        <v>2437200</v>
      </c>
      <c r="E201">
        <v>1624800</v>
      </c>
      <c r="F201">
        <v>812400</v>
      </c>
      <c r="G201" s="2">
        <v>45644</v>
      </c>
      <c r="H201" s="3">
        <f>SUM(D:D)</f>
        <v>10447536600</v>
      </c>
      <c r="I201" s="4">
        <f>SUM(F:F)</f>
        <v>2099369250</v>
      </c>
      <c r="J201" s="4">
        <f>SUM(E:E)</f>
        <v>8348167350</v>
      </c>
      <c r="K201">
        <f>SUM(C:C)</f>
        <v>1017885</v>
      </c>
      <c r="L201">
        <f>MONTH(G:G)</f>
        <v>12</v>
      </c>
      <c r="M201">
        <f>YEAR(G:G)</f>
        <v>2024</v>
      </c>
    </row>
    <row r="202" spans="1:13" x14ac:dyDescent="0.25">
      <c r="A202" s="1" t="s">
        <v>21</v>
      </c>
      <c r="B202" s="1" t="s">
        <v>23</v>
      </c>
      <c r="C202">
        <v>1135</v>
      </c>
      <c r="D202">
        <v>5675000</v>
      </c>
      <c r="E202">
        <v>4767000</v>
      </c>
      <c r="F202">
        <v>908000</v>
      </c>
      <c r="G202" s="2">
        <v>45633</v>
      </c>
      <c r="H202" s="3">
        <f>SUM(D:D)</f>
        <v>10447536600</v>
      </c>
      <c r="I202" s="4">
        <f>SUM(F:F)</f>
        <v>2099369250</v>
      </c>
      <c r="J202" s="4">
        <f>SUM(E:E)</f>
        <v>8348167350</v>
      </c>
      <c r="K202">
        <f>SUM(C:C)</f>
        <v>1017885</v>
      </c>
      <c r="L202">
        <f>MONTH(G:G)</f>
        <v>12</v>
      </c>
      <c r="M202">
        <f>YEAR(G:G)</f>
        <v>2024</v>
      </c>
    </row>
    <row r="203" spans="1:13" x14ac:dyDescent="0.25">
      <c r="A203" s="1" t="s">
        <v>7</v>
      </c>
      <c r="B203" s="1" t="s">
        <v>19</v>
      </c>
      <c r="C203">
        <v>821</v>
      </c>
      <c r="D203">
        <v>36945000</v>
      </c>
      <c r="E203">
        <v>31198000</v>
      </c>
      <c r="F203">
        <v>5747000</v>
      </c>
      <c r="G203" s="2">
        <v>45645</v>
      </c>
      <c r="H203" s="3">
        <f>SUM(D:D)</f>
        <v>10447536600</v>
      </c>
      <c r="I203" s="4">
        <f>SUM(F:F)</f>
        <v>2099369250</v>
      </c>
      <c r="J203" s="4">
        <f>SUM(E:E)</f>
        <v>8348167350</v>
      </c>
      <c r="K203">
        <f>SUM(C:C)</f>
        <v>1017885</v>
      </c>
      <c r="L203">
        <f>MONTH(G:G)</f>
        <v>12</v>
      </c>
      <c r="M203">
        <f>YEAR(G:G)</f>
        <v>2024</v>
      </c>
    </row>
    <row r="204" spans="1:13" x14ac:dyDescent="0.25">
      <c r="A204" s="1" t="s">
        <v>18</v>
      </c>
      <c r="B204" s="1" t="s">
        <v>8</v>
      </c>
      <c r="C204">
        <v>1093</v>
      </c>
      <c r="D204">
        <v>3279000</v>
      </c>
      <c r="E204">
        <v>1967400</v>
      </c>
      <c r="F204">
        <v>1311600</v>
      </c>
      <c r="G204" s="2">
        <v>45639</v>
      </c>
      <c r="H204" s="3">
        <f>SUM(D:D)</f>
        <v>10447536600</v>
      </c>
      <c r="I204" s="4">
        <f>SUM(F:F)</f>
        <v>2099369250</v>
      </c>
      <c r="J204" s="4">
        <f>SUM(E:E)</f>
        <v>8348167350</v>
      </c>
      <c r="K204">
        <f>SUM(C:C)</f>
        <v>1017885</v>
      </c>
      <c r="L204">
        <f>MONTH(G:G)</f>
        <v>12</v>
      </c>
      <c r="M204">
        <f>YEAR(G:G)</f>
        <v>2024</v>
      </c>
    </row>
    <row r="205" spans="1:13" x14ac:dyDescent="0.25">
      <c r="A205" s="1" t="s">
        <v>22</v>
      </c>
      <c r="B205" s="1" t="s">
        <v>8</v>
      </c>
      <c r="C205">
        <v>1646</v>
      </c>
      <c r="D205">
        <v>4938000</v>
      </c>
      <c r="E205">
        <v>2962800</v>
      </c>
      <c r="F205">
        <v>1975200</v>
      </c>
      <c r="G205" s="2">
        <v>45655</v>
      </c>
      <c r="H205" s="3">
        <f>SUM(D:D)</f>
        <v>10447536600</v>
      </c>
      <c r="I205" s="4">
        <f>SUM(F:F)</f>
        <v>2099369250</v>
      </c>
      <c r="J205" s="4">
        <f>SUM(E:E)</f>
        <v>8348167350</v>
      </c>
      <c r="K205">
        <f>SUM(C:C)</f>
        <v>1017885</v>
      </c>
      <c r="L205">
        <f>MONTH(G:G)</f>
        <v>12</v>
      </c>
      <c r="M205">
        <f>YEAR(G:G)</f>
        <v>2024</v>
      </c>
    </row>
    <row r="206" spans="1:13" x14ac:dyDescent="0.25">
      <c r="A206" s="1" t="s">
        <v>20</v>
      </c>
      <c r="B206" s="1" t="s">
        <v>14</v>
      </c>
      <c r="C206">
        <v>1340</v>
      </c>
      <c r="D206">
        <v>1608000</v>
      </c>
      <c r="E206">
        <v>1072000</v>
      </c>
      <c r="F206">
        <v>536000</v>
      </c>
      <c r="G206" s="2">
        <v>45652</v>
      </c>
      <c r="H206" s="3">
        <f>SUM(D:D)</f>
        <v>10447536600</v>
      </c>
      <c r="I206" s="4">
        <f>SUM(F:F)</f>
        <v>2099369250</v>
      </c>
      <c r="J206" s="4">
        <f>SUM(E:E)</f>
        <v>8348167350</v>
      </c>
      <c r="K206">
        <f>SUM(C:C)</f>
        <v>1017885</v>
      </c>
      <c r="L206">
        <f>MONTH(G:G)</f>
        <v>12</v>
      </c>
      <c r="M206">
        <f>YEAR(G:G)</f>
        <v>2024</v>
      </c>
    </row>
    <row r="207" spans="1:13" x14ac:dyDescent="0.25">
      <c r="A207" s="1" t="s">
        <v>11</v>
      </c>
      <c r="B207" s="1" t="s">
        <v>8</v>
      </c>
      <c r="C207">
        <v>1690</v>
      </c>
      <c r="D207">
        <v>5070000</v>
      </c>
      <c r="E207">
        <v>3042000</v>
      </c>
      <c r="F207">
        <v>2028000</v>
      </c>
      <c r="G207" s="2">
        <v>45632</v>
      </c>
      <c r="H207" s="3">
        <f>SUM(D:D)</f>
        <v>10447536600</v>
      </c>
      <c r="I207" s="4">
        <f>SUM(F:F)</f>
        <v>2099369250</v>
      </c>
      <c r="J207" s="4">
        <f>SUM(E:E)</f>
        <v>8348167350</v>
      </c>
      <c r="K207">
        <f>SUM(C:C)</f>
        <v>1017885</v>
      </c>
      <c r="L207">
        <f>MONTH(G:G)</f>
        <v>12</v>
      </c>
      <c r="M207">
        <f>YEAR(G:G)</f>
        <v>2024</v>
      </c>
    </row>
    <row r="208" spans="1:13" x14ac:dyDescent="0.25">
      <c r="A208" s="1" t="s">
        <v>22</v>
      </c>
      <c r="B208" s="1" t="s">
        <v>12</v>
      </c>
      <c r="C208">
        <v>1536</v>
      </c>
      <c r="D208">
        <v>1843200</v>
      </c>
      <c r="E208">
        <v>1305600</v>
      </c>
      <c r="F208">
        <v>537600</v>
      </c>
      <c r="G208" s="2">
        <v>45633</v>
      </c>
      <c r="H208" s="3">
        <f>SUM(D:D)</f>
        <v>10447536600</v>
      </c>
      <c r="I208" s="4">
        <f>SUM(F:F)</f>
        <v>2099369250</v>
      </c>
      <c r="J208" s="4">
        <f>SUM(E:E)</f>
        <v>8348167350</v>
      </c>
      <c r="K208">
        <f>SUM(C:C)</f>
        <v>1017885</v>
      </c>
      <c r="L208">
        <f>MONTH(G:G)</f>
        <v>12</v>
      </c>
      <c r="M208">
        <f>YEAR(G:G)</f>
        <v>2024</v>
      </c>
    </row>
    <row r="209" spans="1:13" x14ac:dyDescent="0.25">
      <c r="A209" s="1" t="s">
        <v>9</v>
      </c>
      <c r="B209" s="1" t="s">
        <v>8</v>
      </c>
      <c r="C209">
        <v>2795</v>
      </c>
      <c r="D209">
        <v>8385000</v>
      </c>
      <c r="E209">
        <v>5031000</v>
      </c>
      <c r="F209">
        <v>3354000</v>
      </c>
      <c r="G209" s="2">
        <v>45627</v>
      </c>
      <c r="H209" s="3">
        <f>SUM(D:D)</f>
        <v>10447536600</v>
      </c>
      <c r="I209" s="4">
        <f>SUM(F:F)</f>
        <v>2099369250</v>
      </c>
      <c r="J209" s="4">
        <f>SUM(E:E)</f>
        <v>8348167350</v>
      </c>
      <c r="K209">
        <f>SUM(C:C)</f>
        <v>1017885</v>
      </c>
      <c r="L209">
        <f>MONTH(G:G)</f>
        <v>12</v>
      </c>
      <c r="M209">
        <f>YEAR(G:G)</f>
        <v>2024</v>
      </c>
    </row>
    <row r="210" spans="1:13" x14ac:dyDescent="0.25">
      <c r="A210" s="1" t="s">
        <v>18</v>
      </c>
      <c r="B210" s="1" t="s">
        <v>14</v>
      </c>
      <c r="C210">
        <v>1104</v>
      </c>
      <c r="D210">
        <v>1324800</v>
      </c>
      <c r="E210">
        <v>883200</v>
      </c>
      <c r="F210">
        <v>441600</v>
      </c>
      <c r="G210" s="2">
        <v>45636</v>
      </c>
      <c r="H210" s="3">
        <f>SUM(D:D)</f>
        <v>10447536600</v>
      </c>
      <c r="I210" s="4">
        <f>SUM(F:F)</f>
        <v>2099369250</v>
      </c>
      <c r="J210" s="4">
        <f>SUM(E:E)</f>
        <v>8348167350</v>
      </c>
      <c r="K210">
        <f>SUM(C:C)</f>
        <v>1017885</v>
      </c>
      <c r="L210">
        <f>MONTH(G:G)</f>
        <v>12</v>
      </c>
      <c r="M210">
        <f>YEAR(G:G)</f>
        <v>2024</v>
      </c>
    </row>
    <row r="211" spans="1:13" x14ac:dyDescent="0.25">
      <c r="A211" s="1" t="s">
        <v>21</v>
      </c>
      <c r="B211" s="1" t="s">
        <v>14</v>
      </c>
      <c r="C211">
        <v>1315</v>
      </c>
      <c r="D211">
        <v>1578000</v>
      </c>
      <c r="E211">
        <v>1052000</v>
      </c>
      <c r="F211">
        <v>526000</v>
      </c>
      <c r="G211" s="2">
        <v>45629</v>
      </c>
      <c r="H211" s="3">
        <f>SUM(D:D)</f>
        <v>10447536600</v>
      </c>
      <c r="I211" s="4">
        <f>SUM(F:F)</f>
        <v>2099369250</v>
      </c>
      <c r="J211" s="4">
        <f>SUM(E:E)</f>
        <v>8348167350</v>
      </c>
      <c r="K211">
        <f>SUM(C:C)</f>
        <v>1017885</v>
      </c>
      <c r="L211">
        <f>MONTH(G:G)</f>
        <v>12</v>
      </c>
      <c r="M211">
        <f>YEAR(G:G)</f>
        <v>2024</v>
      </c>
    </row>
    <row r="212" spans="1:13" x14ac:dyDescent="0.25">
      <c r="A212" s="1" t="s">
        <v>7</v>
      </c>
      <c r="B212" s="1" t="s">
        <v>12</v>
      </c>
      <c r="C212">
        <v>841</v>
      </c>
      <c r="D212">
        <v>1009200</v>
      </c>
      <c r="E212">
        <v>714850</v>
      </c>
      <c r="F212">
        <v>294350</v>
      </c>
      <c r="G212" s="2">
        <v>45657</v>
      </c>
      <c r="H212" s="3">
        <f>SUM(D:D)</f>
        <v>10447536600</v>
      </c>
      <c r="I212" s="4">
        <f>SUM(F:F)</f>
        <v>2099369250</v>
      </c>
      <c r="J212" s="4">
        <f>SUM(E:E)</f>
        <v>8348167350</v>
      </c>
      <c r="K212">
        <f>SUM(C:C)</f>
        <v>1017885</v>
      </c>
      <c r="L212">
        <f>MONTH(G:G)</f>
        <v>12</v>
      </c>
      <c r="M212">
        <f>YEAR(G:G)</f>
        <v>2024</v>
      </c>
    </row>
    <row r="213" spans="1:13" x14ac:dyDescent="0.25">
      <c r="A213" s="1" t="s">
        <v>18</v>
      </c>
      <c r="B213" s="1" t="s">
        <v>10</v>
      </c>
      <c r="C213">
        <v>1034</v>
      </c>
      <c r="D213">
        <v>3619000</v>
      </c>
      <c r="E213">
        <v>2688400</v>
      </c>
      <c r="F213">
        <v>930600</v>
      </c>
      <c r="G213" s="2">
        <v>45641</v>
      </c>
      <c r="H213" s="3">
        <f>SUM(D:D)</f>
        <v>10447536600</v>
      </c>
      <c r="I213" s="4">
        <f>SUM(F:F)</f>
        <v>2099369250</v>
      </c>
      <c r="J213" s="4">
        <f>SUM(E:E)</f>
        <v>8348167350</v>
      </c>
      <c r="K213">
        <f>SUM(C:C)</f>
        <v>1017885</v>
      </c>
      <c r="L213">
        <f>MONTH(G:G)</f>
        <v>12</v>
      </c>
      <c r="M213">
        <f>YEAR(G:G)</f>
        <v>2024</v>
      </c>
    </row>
    <row r="214" spans="1:13" x14ac:dyDescent="0.25">
      <c r="A214" s="1" t="s">
        <v>7</v>
      </c>
      <c r="B214" s="1" t="s">
        <v>8</v>
      </c>
      <c r="C214">
        <v>1759</v>
      </c>
      <c r="D214">
        <v>5277000</v>
      </c>
      <c r="E214">
        <v>3166200</v>
      </c>
      <c r="F214">
        <v>2110800</v>
      </c>
      <c r="G214" s="2">
        <v>45651</v>
      </c>
      <c r="H214" s="3">
        <f>SUM(D:D)</f>
        <v>10447536600</v>
      </c>
      <c r="I214" s="4">
        <f>SUM(F:F)</f>
        <v>2099369250</v>
      </c>
      <c r="J214" s="4">
        <f>SUM(E:E)</f>
        <v>8348167350</v>
      </c>
      <c r="K214">
        <f>SUM(C:C)</f>
        <v>1017885</v>
      </c>
      <c r="L214">
        <f>MONTH(G:G)</f>
        <v>12</v>
      </c>
      <c r="M214">
        <f>YEAR(G:G)</f>
        <v>2024</v>
      </c>
    </row>
    <row r="215" spans="1:13" x14ac:dyDescent="0.25">
      <c r="A215" s="1" t="s">
        <v>7</v>
      </c>
      <c r="B215" s="1" t="s">
        <v>14</v>
      </c>
      <c r="C215">
        <v>2823</v>
      </c>
      <c r="D215">
        <v>3387600</v>
      </c>
      <c r="E215">
        <v>2258400</v>
      </c>
      <c r="F215">
        <v>1129200</v>
      </c>
      <c r="G215" s="2">
        <v>45642</v>
      </c>
      <c r="H215" s="3">
        <f>SUM(D:D)</f>
        <v>10447536600</v>
      </c>
      <c r="I215" s="4">
        <f>SUM(F:F)</f>
        <v>2099369250</v>
      </c>
      <c r="J215" s="4">
        <f>SUM(E:E)</f>
        <v>8348167350</v>
      </c>
      <c r="K215">
        <f>SUM(C:C)</f>
        <v>1017885</v>
      </c>
      <c r="L215">
        <f>MONTH(G:G)</f>
        <v>12</v>
      </c>
      <c r="M215">
        <f>YEAR(G:G)</f>
        <v>2024</v>
      </c>
    </row>
    <row r="216" spans="1:13" x14ac:dyDescent="0.25">
      <c r="A216" s="1" t="s">
        <v>9</v>
      </c>
      <c r="B216" s="1" t="s">
        <v>12</v>
      </c>
      <c r="C216">
        <v>192</v>
      </c>
      <c r="D216">
        <v>230400</v>
      </c>
      <c r="E216">
        <v>163200</v>
      </c>
      <c r="F216">
        <v>67200</v>
      </c>
      <c r="G216" s="2">
        <v>45653</v>
      </c>
      <c r="H216" s="3">
        <f>SUM(D:D)</f>
        <v>10447536600</v>
      </c>
      <c r="I216" s="4">
        <f>SUM(F:F)</f>
        <v>2099369250</v>
      </c>
      <c r="J216" s="4">
        <f>SUM(E:E)</f>
        <v>8348167350</v>
      </c>
      <c r="K216">
        <f>SUM(C:C)</f>
        <v>1017885</v>
      </c>
      <c r="L216">
        <f>MONTH(G:G)</f>
        <v>12</v>
      </c>
      <c r="M216">
        <f>YEAR(G:G)</f>
        <v>2024</v>
      </c>
    </row>
    <row r="217" spans="1:13" x14ac:dyDescent="0.25">
      <c r="A217" s="1" t="s">
        <v>15</v>
      </c>
      <c r="B217" s="1" t="s">
        <v>14</v>
      </c>
      <c r="C217">
        <v>2385</v>
      </c>
      <c r="D217">
        <v>2862000</v>
      </c>
      <c r="E217">
        <v>1908000</v>
      </c>
      <c r="F217">
        <v>954000</v>
      </c>
      <c r="G217" s="2">
        <v>45627</v>
      </c>
      <c r="H217" s="3">
        <f>SUM(D:D)</f>
        <v>10447536600</v>
      </c>
      <c r="I217" s="4">
        <f>SUM(F:F)</f>
        <v>2099369250</v>
      </c>
      <c r="J217" s="4">
        <f>SUM(E:E)</f>
        <v>8348167350</v>
      </c>
      <c r="K217">
        <f>SUM(C:C)</f>
        <v>1017885</v>
      </c>
      <c r="L217">
        <f>MONTH(G:G)</f>
        <v>12</v>
      </c>
      <c r="M217">
        <f>YEAR(G:G)</f>
        <v>2024</v>
      </c>
    </row>
    <row r="218" spans="1:13" x14ac:dyDescent="0.25">
      <c r="A218" s="1" t="s">
        <v>15</v>
      </c>
      <c r="B218" s="1" t="s">
        <v>23</v>
      </c>
      <c r="C218">
        <v>575</v>
      </c>
      <c r="D218">
        <v>2875000</v>
      </c>
      <c r="E218">
        <v>2415000</v>
      </c>
      <c r="F218">
        <v>460000</v>
      </c>
      <c r="G218" s="2">
        <v>45647</v>
      </c>
      <c r="H218" s="3">
        <f>SUM(D:D)</f>
        <v>10447536600</v>
      </c>
      <c r="I218" s="4">
        <f>SUM(F:F)</f>
        <v>2099369250</v>
      </c>
      <c r="J218" s="4">
        <f>SUM(E:E)</f>
        <v>8348167350</v>
      </c>
      <c r="K218">
        <f>SUM(C:C)</f>
        <v>1017885</v>
      </c>
      <c r="L218">
        <f>MONTH(G:G)</f>
        <v>12</v>
      </c>
      <c r="M218">
        <f>YEAR(G:G)</f>
        <v>2024</v>
      </c>
    </row>
    <row r="219" spans="1:13" x14ac:dyDescent="0.25">
      <c r="A219" s="1" t="s">
        <v>13</v>
      </c>
      <c r="B219" s="1" t="s">
        <v>23</v>
      </c>
      <c r="C219">
        <v>2788</v>
      </c>
      <c r="D219">
        <v>13940000</v>
      </c>
      <c r="E219">
        <v>11709600</v>
      </c>
      <c r="F219">
        <v>2230400</v>
      </c>
      <c r="G219" s="2">
        <v>45635</v>
      </c>
      <c r="H219" s="3">
        <f>SUM(D:D)</f>
        <v>10447536600</v>
      </c>
      <c r="I219" s="4">
        <f>SUM(F:F)</f>
        <v>2099369250</v>
      </c>
      <c r="J219" s="4">
        <f>SUM(E:E)</f>
        <v>8348167350</v>
      </c>
      <c r="K219">
        <f>SUM(C:C)</f>
        <v>1017885</v>
      </c>
      <c r="L219">
        <f>MONTH(G:G)</f>
        <v>12</v>
      </c>
      <c r="M219">
        <f>YEAR(G:G)</f>
        <v>2024</v>
      </c>
    </row>
    <row r="220" spans="1:13" x14ac:dyDescent="0.25">
      <c r="A220" s="1" t="s">
        <v>15</v>
      </c>
      <c r="B220" s="1" t="s">
        <v>23</v>
      </c>
      <c r="C220">
        <v>2166</v>
      </c>
      <c r="D220">
        <v>10830000</v>
      </c>
      <c r="E220">
        <v>9097200</v>
      </c>
      <c r="F220">
        <v>1732800</v>
      </c>
      <c r="G220" s="2">
        <v>45688</v>
      </c>
      <c r="H220" s="3">
        <f>SUM(D:D)</f>
        <v>10447536600</v>
      </c>
      <c r="I220" s="4">
        <f>SUM(F:F)</f>
        <v>2099369250</v>
      </c>
      <c r="J220" s="4">
        <f>SUM(E:E)</f>
        <v>8348167350</v>
      </c>
      <c r="K220">
        <f>SUM(C:C)</f>
        <v>1017885</v>
      </c>
      <c r="L220">
        <f>MONTH(G:G)</f>
        <v>1</v>
      </c>
      <c r="M220">
        <f>YEAR(G:G)</f>
        <v>2025</v>
      </c>
    </row>
    <row r="221" spans="1:13" x14ac:dyDescent="0.25">
      <c r="A221" s="1" t="s">
        <v>21</v>
      </c>
      <c r="B221" s="1" t="s">
        <v>23</v>
      </c>
      <c r="C221">
        <v>450</v>
      </c>
      <c r="D221">
        <v>2250000</v>
      </c>
      <c r="E221">
        <v>1890000</v>
      </c>
      <c r="F221">
        <v>360000</v>
      </c>
      <c r="G221" s="2">
        <v>45664</v>
      </c>
      <c r="H221" s="3">
        <f>SUM(D:D)</f>
        <v>10447536600</v>
      </c>
      <c r="I221" s="4">
        <f>SUM(F:F)</f>
        <v>2099369250</v>
      </c>
      <c r="J221" s="4">
        <f>SUM(E:E)</f>
        <v>8348167350</v>
      </c>
      <c r="K221">
        <f>SUM(C:C)</f>
        <v>1017885</v>
      </c>
      <c r="L221">
        <f>MONTH(G:G)</f>
        <v>1</v>
      </c>
      <c r="M221">
        <f>YEAR(G:G)</f>
        <v>2025</v>
      </c>
    </row>
    <row r="222" spans="1:13" x14ac:dyDescent="0.25">
      <c r="A222" s="1" t="s">
        <v>13</v>
      </c>
      <c r="B222" s="1" t="s">
        <v>10</v>
      </c>
      <c r="C222">
        <v>413</v>
      </c>
      <c r="D222">
        <v>1445500</v>
      </c>
      <c r="E222">
        <v>1073800</v>
      </c>
      <c r="F222">
        <v>371700</v>
      </c>
      <c r="G222" s="2">
        <v>45669</v>
      </c>
      <c r="H222" s="3">
        <f>SUM(D:D)</f>
        <v>10447536600</v>
      </c>
      <c r="I222" s="4">
        <f>SUM(F:F)</f>
        <v>2099369250</v>
      </c>
      <c r="J222" s="4">
        <f>SUM(E:E)</f>
        <v>8348167350</v>
      </c>
      <c r="K222">
        <f>SUM(C:C)</f>
        <v>1017885</v>
      </c>
      <c r="L222">
        <f>MONTH(G:G)</f>
        <v>1</v>
      </c>
      <c r="M222">
        <f>YEAR(G:G)</f>
        <v>2025</v>
      </c>
    </row>
    <row r="223" spans="1:13" x14ac:dyDescent="0.25">
      <c r="A223" s="1" t="s">
        <v>11</v>
      </c>
      <c r="B223" s="1" t="s">
        <v>17</v>
      </c>
      <c r="C223">
        <v>1375</v>
      </c>
      <c r="D223">
        <v>20625000</v>
      </c>
      <c r="E223">
        <v>15125000</v>
      </c>
      <c r="F223">
        <v>5500000</v>
      </c>
      <c r="G223" s="2">
        <v>45672</v>
      </c>
      <c r="H223" s="3">
        <f>SUM(D:D)</f>
        <v>10447536600</v>
      </c>
      <c r="I223" s="4">
        <f>SUM(F:F)</f>
        <v>2099369250</v>
      </c>
      <c r="J223" s="4">
        <f>SUM(E:E)</f>
        <v>8348167350</v>
      </c>
      <c r="K223">
        <f>SUM(C:C)</f>
        <v>1017885</v>
      </c>
      <c r="L223">
        <f>MONTH(G:G)</f>
        <v>1</v>
      </c>
      <c r="M223">
        <f>YEAR(G:G)</f>
        <v>2025</v>
      </c>
    </row>
    <row r="224" spans="1:13" x14ac:dyDescent="0.25">
      <c r="A224" s="1" t="s">
        <v>16</v>
      </c>
      <c r="B224" s="1" t="s">
        <v>14</v>
      </c>
      <c r="C224">
        <v>1939</v>
      </c>
      <c r="D224">
        <v>2326800</v>
      </c>
      <c r="E224">
        <v>1551200</v>
      </c>
      <c r="F224">
        <v>775600</v>
      </c>
      <c r="G224" s="2">
        <v>45672</v>
      </c>
      <c r="H224" s="3">
        <f>SUM(D:D)</f>
        <v>10447536600</v>
      </c>
      <c r="I224" s="4">
        <f>SUM(F:F)</f>
        <v>2099369250</v>
      </c>
      <c r="J224" s="4">
        <f>SUM(E:E)</f>
        <v>8348167350</v>
      </c>
      <c r="K224">
        <f>SUM(C:C)</f>
        <v>1017885</v>
      </c>
      <c r="L224">
        <f>MONTH(G:G)</f>
        <v>1</v>
      </c>
      <c r="M224">
        <f>YEAR(G:G)</f>
        <v>2025</v>
      </c>
    </row>
    <row r="225" spans="1:13" x14ac:dyDescent="0.25">
      <c r="A225" s="1" t="s">
        <v>16</v>
      </c>
      <c r="B225" s="1" t="s">
        <v>19</v>
      </c>
      <c r="C225">
        <v>1243</v>
      </c>
      <c r="D225">
        <v>55935000</v>
      </c>
      <c r="E225">
        <v>47234000</v>
      </c>
      <c r="F225">
        <v>8701000</v>
      </c>
      <c r="G225" s="2">
        <v>45681</v>
      </c>
      <c r="H225" s="3">
        <f>SUM(D:D)</f>
        <v>10447536600</v>
      </c>
      <c r="I225" s="4">
        <f>SUM(F:F)</f>
        <v>2099369250</v>
      </c>
      <c r="J225" s="4">
        <f>SUM(E:E)</f>
        <v>8348167350</v>
      </c>
      <c r="K225">
        <f>SUM(C:C)</f>
        <v>1017885</v>
      </c>
      <c r="L225">
        <f>MONTH(G:G)</f>
        <v>1</v>
      </c>
      <c r="M225">
        <f>YEAR(G:G)</f>
        <v>2025</v>
      </c>
    </row>
    <row r="226" spans="1:13" x14ac:dyDescent="0.25">
      <c r="A226" s="1" t="s">
        <v>20</v>
      </c>
      <c r="B226" s="1" t="s">
        <v>17</v>
      </c>
      <c r="C226">
        <v>475</v>
      </c>
      <c r="D226">
        <v>7125000</v>
      </c>
      <c r="E226">
        <v>5225000</v>
      </c>
      <c r="F226">
        <v>1900000</v>
      </c>
      <c r="G226" s="2">
        <v>45673</v>
      </c>
      <c r="H226" s="3">
        <f>SUM(D:D)</f>
        <v>10447536600</v>
      </c>
      <c r="I226" s="4">
        <f>SUM(F:F)</f>
        <v>2099369250</v>
      </c>
      <c r="J226" s="4">
        <f>SUM(E:E)</f>
        <v>8348167350</v>
      </c>
      <c r="K226">
        <f>SUM(C:C)</f>
        <v>1017885</v>
      </c>
      <c r="L226">
        <f>MONTH(G:G)</f>
        <v>1</v>
      </c>
      <c r="M226">
        <f>YEAR(G:G)</f>
        <v>2025</v>
      </c>
    </row>
    <row r="227" spans="1:13" x14ac:dyDescent="0.25">
      <c r="A227" s="1" t="s">
        <v>16</v>
      </c>
      <c r="B227" s="1" t="s">
        <v>23</v>
      </c>
      <c r="C227">
        <v>1297</v>
      </c>
      <c r="D227">
        <v>6485000</v>
      </c>
      <c r="E227">
        <v>5447400</v>
      </c>
      <c r="F227">
        <v>1037600</v>
      </c>
      <c r="G227" s="2">
        <v>45677</v>
      </c>
      <c r="H227" s="3">
        <f>SUM(D:D)</f>
        <v>10447536600</v>
      </c>
      <c r="I227" s="4">
        <f>SUM(F:F)</f>
        <v>2099369250</v>
      </c>
      <c r="J227" s="4">
        <f>SUM(E:E)</f>
        <v>8348167350</v>
      </c>
      <c r="K227">
        <f>SUM(C:C)</f>
        <v>1017885</v>
      </c>
      <c r="L227">
        <f>MONTH(G:G)</f>
        <v>1</v>
      </c>
      <c r="M227">
        <f>YEAR(G:G)</f>
        <v>2025</v>
      </c>
    </row>
    <row r="228" spans="1:13" x14ac:dyDescent="0.25">
      <c r="A228" s="1" t="s">
        <v>20</v>
      </c>
      <c r="B228" s="1" t="s">
        <v>17</v>
      </c>
      <c r="C228">
        <v>2802</v>
      </c>
      <c r="D228">
        <v>42030000</v>
      </c>
      <c r="E228">
        <v>30822000</v>
      </c>
      <c r="F228">
        <v>11208000</v>
      </c>
      <c r="G228" s="2">
        <v>45686</v>
      </c>
      <c r="H228" s="3">
        <f>SUM(D:D)</f>
        <v>10447536600</v>
      </c>
      <c r="I228" s="4">
        <f>SUM(F:F)</f>
        <v>2099369250</v>
      </c>
      <c r="J228" s="4">
        <f>SUM(E:E)</f>
        <v>8348167350</v>
      </c>
      <c r="K228">
        <f>SUM(C:C)</f>
        <v>1017885</v>
      </c>
      <c r="L228">
        <f>MONTH(G:G)</f>
        <v>1</v>
      </c>
      <c r="M228">
        <f>YEAR(G:G)</f>
        <v>2025</v>
      </c>
    </row>
    <row r="229" spans="1:13" x14ac:dyDescent="0.25">
      <c r="A229" s="1" t="s">
        <v>20</v>
      </c>
      <c r="B229" s="1" t="s">
        <v>12</v>
      </c>
      <c r="C229">
        <v>2557</v>
      </c>
      <c r="D229">
        <v>3068400</v>
      </c>
      <c r="E229">
        <v>2173450</v>
      </c>
      <c r="F229">
        <v>894950</v>
      </c>
      <c r="G229" s="2">
        <v>45688</v>
      </c>
      <c r="H229" s="3">
        <f>SUM(D:D)</f>
        <v>10447536600</v>
      </c>
      <c r="I229" s="4">
        <f>SUM(F:F)</f>
        <v>2099369250</v>
      </c>
      <c r="J229" s="4">
        <f>SUM(E:E)</f>
        <v>8348167350</v>
      </c>
      <c r="K229">
        <f>SUM(C:C)</f>
        <v>1017885</v>
      </c>
      <c r="L229">
        <f>MONTH(G:G)</f>
        <v>1</v>
      </c>
      <c r="M229">
        <f>YEAR(G:G)</f>
        <v>2025</v>
      </c>
    </row>
    <row r="230" spans="1:13" x14ac:dyDescent="0.25">
      <c r="A230" s="1" t="s">
        <v>15</v>
      </c>
      <c r="B230" s="1" t="s">
        <v>23</v>
      </c>
      <c r="C230">
        <v>2176</v>
      </c>
      <c r="D230">
        <v>10880000</v>
      </c>
      <c r="E230">
        <v>9139200</v>
      </c>
      <c r="F230">
        <v>1740800</v>
      </c>
      <c r="G230" s="2">
        <v>45684</v>
      </c>
      <c r="H230" s="3">
        <f>SUM(D:D)</f>
        <v>10447536600</v>
      </c>
      <c r="I230" s="4">
        <f>SUM(F:F)</f>
        <v>2099369250</v>
      </c>
      <c r="J230" s="4">
        <f>SUM(E:E)</f>
        <v>8348167350</v>
      </c>
      <c r="K230">
        <f>SUM(C:C)</f>
        <v>1017885</v>
      </c>
      <c r="L230">
        <f>MONTH(G:G)</f>
        <v>1</v>
      </c>
      <c r="M230">
        <f>YEAR(G:G)</f>
        <v>2025</v>
      </c>
    </row>
    <row r="231" spans="1:13" x14ac:dyDescent="0.25">
      <c r="A231" s="1" t="s">
        <v>21</v>
      </c>
      <c r="B231" s="1" t="s">
        <v>8</v>
      </c>
      <c r="C231">
        <v>1100</v>
      </c>
      <c r="D231">
        <v>3300000</v>
      </c>
      <c r="E231">
        <v>1980000</v>
      </c>
      <c r="F231">
        <v>1320000</v>
      </c>
      <c r="G231" s="2">
        <v>45659</v>
      </c>
      <c r="H231" s="3">
        <f>SUM(D:D)</f>
        <v>10447536600</v>
      </c>
      <c r="I231" s="4">
        <f>SUM(F:F)</f>
        <v>2099369250</v>
      </c>
      <c r="J231" s="4">
        <f>SUM(E:E)</f>
        <v>8348167350</v>
      </c>
      <c r="K231">
        <f>SUM(C:C)</f>
        <v>1017885</v>
      </c>
      <c r="L231">
        <f>MONTH(G:G)</f>
        <v>1</v>
      </c>
      <c r="M231">
        <f>YEAR(G:G)</f>
        <v>2025</v>
      </c>
    </row>
    <row r="232" spans="1:13" x14ac:dyDescent="0.25">
      <c r="A232" s="1" t="s">
        <v>13</v>
      </c>
      <c r="B232" s="1" t="s">
        <v>19</v>
      </c>
      <c r="C232">
        <v>2996</v>
      </c>
      <c r="D232">
        <v>134820000</v>
      </c>
      <c r="E232">
        <v>113848000</v>
      </c>
      <c r="F232">
        <v>20972000</v>
      </c>
      <c r="G232" s="2">
        <v>45669</v>
      </c>
      <c r="H232" s="3">
        <f>SUM(D:D)</f>
        <v>10447536600</v>
      </c>
      <c r="I232" s="4">
        <f>SUM(F:F)</f>
        <v>2099369250</v>
      </c>
      <c r="J232" s="4">
        <f>SUM(E:E)</f>
        <v>8348167350</v>
      </c>
      <c r="K232">
        <f>SUM(C:C)</f>
        <v>1017885</v>
      </c>
      <c r="L232">
        <f>MONTH(G:G)</f>
        <v>1</v>
      </c>
      <c r="M232">
        <f>YEAR(G:G)</f>
        <v>2025</v>
      </c>
    </row>
    <row r="233" spans="1:13" x14ac:dyDescent="0.25">
      <c r="A233" s="1" t="s">
        <v>15</v>
      </c>
      <c r="B233" s="1" t="s">
        <v>12</v>
      </c>
      <c r="C233">
        <v>2552</v>
      </c>
      <c r="D233">
        <v>3062400</v>
      </c>
      <c r="E233">
        <v>2169200</v>
      </c>
      <c r="F233">
        <v>893200</v>
      </c>
      <c r="G233" s="2">
        <v>45661</v>
      </c>
      <c r="H233" s="3">
        <f>SUM(D:D)</f>
        <v>10447536600</v>
      </c>
      <c r="I233" s="4">
        <f>SUM(F:F)</f>
        <v>2099369250</v>
      </c>
      <c r="J233" s="4">
        <f>SUM(E:E)</f>
        <v>8348167350</v>
      </c>
      <c r="K233">
        <f>SUM(C:C)</f>
        <v>1017885</v>
      </c>
      <c r="L233">
        <f>MONTH(G:G)</f>
        <v>1</v>
      </c>
      <c r="M233">
        <f>YEAR(G:G)</f>
        <v>2025</v>
      </c>
    </row>
    <row r="234" spans="1:13" x14ac:dyDescent="0.25">
      <c r="A234" s="1" t="s">
        <v>9</v>
      </c>
      <c r="B234" s="1" t="s">
        <v>23</v>
      </c>
      <c r="C234">
        <v>570</v>
      </c>
      <c r="D234">
        <v>2850000</v>
      </c>
      <c r="E234">
        <v>2394000</v>
      </c>
      <c r="F234">
        <v>456000</v>
      </c>
      <c r="G234" s="2">
        <v>45665</v>
      </c>
      <c r="H234" s="3">
        <f>SUM(D:D)</f>
        <v>10447536600</v>
      </c>
      <c r="I234" s="4">
        <f>SUM(F:F)</f>
        <v>2099369250</v>
      </c>
      <c r="J234" s="4">
        <f>SUM(E:E)</f>
        <v>8348167350</v>
      </c>
      <c r="K234">
        <f>SUM(C:C)</f>
        <v>1017885</v>
      </c>
      <c r="L234">
        <f>MONTH(G:G)</f>
        <v>1</v>
      </c>
      <c r="M234">
        <f>YEAR(G:G)</f>
        <v>2025</v>
      </c>
    </row>
    <row r="235" spans="1:13" x14ac:dyDescent="0.25">
      <c r="A235" s="1" t="s">
        <v>16</v>
      </c>
      <c r="B235" s="1" t="s">
        <v>14</v>
      </c>
      <c r="C235">
        <v>625</v>
      </c>
      <c r="D235">
        <v>750000</v>
      </c>
      <c r="E235">
        <v>500000</v>
      </c>
      <c r="F235">
        <v>250000</v>
      </c>
      <c r="G235" s="2">
        <v>45662</v>
      </c>
      <c r="H235" s="3">
        <f>SUM(D:D)</f>
        <v>10447536600</v>
      </c>
      <c r="I235" s="4">
        <f>SUM(F:F)</f>
        <v>2099369250</v>
      </c>
      <c r="J235" s="4">
        <f>SUM(E:E)</f>
        <v>8348167350</v>
      </c>
      <c r="K235">
        <f>SUM(C:C)</f>
        <v>1017885</v>
      </c>
      <c r="L235">
        <f>MONTH(G:G)</f>
        <v>1</v>
      </c>
      <c r="M235">
        <f>YEAR(G:G)</f>
        <v>2025</v>
      </c>
    </row>
    <row r="236" spans="1:13" x14ac:dyDescent="0.25">
      <c r="A236" s="1" t="s">
        <v>22</v>
      </c>
      <c r="B236" s="1" t="s">
        <v>12</v>
      </c>
      <c r="C236">
        <v>2053</v>
      </c>
      <c r="D236">
        <v>2463600</v>
      </c>
      <c r="E236">
        <v>1745050</v>
      </c>
      <c r="F236">
        <v>718550</v>
      </c>
      <c r="G236" s="2">
        <v>45675</v>
      </c>
      <c r="H236" s="3">
        <f>SUM(D:D)</f>
        <v>10447536600</v>
      </c>
      <c r="I236" s="4">
        <f>SUM(F:F)</f>
        <v>2099369250</v>
      </c>
      <c r="J236" s="4">
        <f>SUM(E:E)</f>
        <v>8348167350</v>
      </c>
      <c r="K236">
        <f>SUM(C:C)</f>
        <v>1017885</v>
      </c>
      <c r="L236">
        <f>MONTH(G:G)</f>
        <v>1</v>
      </c>
      <c r="M236">
        <f>YEAR(G:G)</f>
        <v>2025</v>
      </c>
    </row>
    <row r="237" spans="1:13" x14ac:dyDescent="0.25">
      <c r="A237" s="1" t="s">
        <v>13</v>
      </c>
      <c r="B237" s="1" t="s">
        <v>23</v>
      </c>
      <c r="C237">
        <v>1289</v>
      </c>
      <c r="D237">
        <v>6445000</v>
      </c>
      <c r="E237">
        <v>5413800</v>
      </c>
      <c r="F237">
        <v>1031200</v>
      </c>
      <c r="G237" s="2">
        <v>45682</v>
      </c>
      <c r="H237" s="3">
        <f>SUM(D:D)</f>
        <v>10447536600</v>
      </c>
      <c r="I237" s="4">
        <f>SUM(F:F)</f>
        <v>2099369250</v>
      </c>
      <c r="J237" s="4">
        <f>SUM(E:E)</f>
        <v>8348167350</v>
      </c>
      <c r="K237">
        <f>SUM(C:C)</f>
        <v>1017885</v>
      </c>
      <c r="L237">
        <f>MONTH(G:G)</f>
        <v>1</v>
      </c>
      <c r="M237">
        <f>YEAR(G:G)</f>
        <v>2025</v>
      </c>
    </row>
    <row r="238" spans="1:13" x14ac:dyDescent="0.25">
      <c r="A238" s="1" t="s">
        <v>16</v>
      </c>
      <c r="B238" s="1" t="s">
        <v>14</v>
      </c>
      <c r="C238">
        <v>266</v>
      </c>
      <c r="D238">
        <v>319200</v>
      </c>
      <c r="E238">
        <v>212800</v>
      </c>
      <c r="F238">
        <v>106400</v>
      </c>
      <c r="G238" s="2">
        <v>45674</v>
      </c>
      <c r="H238" s="3">
        <f>SUM(D:D)</f>
        <v>10447536600</v>
      </c>
      <c r="I238" s="4">
        <f>SUM(F:F)</f>
        <v>2099369250</v>
      </c>
      <c r="J238" s="4">
        <f>SUM(E:E)</f>
        <v>8348167350</v>
      </c>
      <c r="K238">
        <f>SUM(C:C)</f>
        <v>1017885</v>
      </c>
      <c r="L238">
        <f>MONTH(G:G)</f>
        <v>1</v>
      </c>
      <c r="M238">
        <f>YEAR(G:G)</f>
        <v>2025</v>
      </c>
    </row>
    <row r="239" spans="1:13" x14ac:dyDescent="0.25">
      <c r="A239" s="1" t="s">
        <v>11</v>
      </c>
      <c r="B239" s="1" t="s">
        <v>14</v>
      </c>
      <c r="C239">
        <v>2524</v>
      </c>
      <c r="D239">
        <v>3028800</v>
      </c>
      <c r="E239">
        <v>2019200</v>
      </c>
      <c r="F239">
        <v>1009600</v>
      </c>
      <c r="G239" s="2">
        <v>45667</v>
      </c>
      <c r="H239" s="3">
        <f>SUM(D:D)</f>
        <v>10447536600</v>
      </c>
      <c r="I239" s="4">
        <f>SUM(F:F)</f>
        <v>2099369250</v>
      </c>
      <c r="J239" s="4">
        <f>SUM(E:E)</f>
        <v>8348167350</v>
      </c>
      <c r="K239">
        <f>SUM(C:C)</f>
        <v>1017885</v>
      </c>
      <c r="L239">
        <f>MONTH(G:G)</f>
        <v>1</v>
      </c>
      <c r="M239">
        <f>YEAR(G:G)</f>
        <v>2025</v>
      </c>
    </row>
    <row r="240" spans="1:13" x14ac:dyDescent="0.25">
      <c r="A240" s="1" t="s">
        <v>16</v>
      </c>
      <c r="B240" s="1" t="s">
        <v>10</v>
      </c>
      <c r="C240">
        <v>1568</v>
      </c>
      <c r="D240">
        <v>5488000</v>
      </c>
      <c r="E240">
        <v>4076800</v>
      </c>
      <c r="F240">
        <v>1411200</v>
      </c>
      <c r="G240" s="2">
        <v>45670</v>
      </c>
      <c r="H240" s="3">
        <f>SUM(D:D)</f>
        <v>10447536600</v>
      </c>
      <c r="I240" s="4">
        <f>SUM(F:F)</f>
        <v>2099369250</v>
      </c>
      <c r="J240" s="4">
        <f>SUM(E:E)</f>
        <v>8348167350</v>
      </c>
      <c r="K240">
        <f>SUM(C:C)</f>
        <v>1017885</v>
      </c>
      <c r="L240">
        <f>MONTH(G:G)</f>
        <v>1</v>
      </c>
      <c r="M240">
        <f>YEAR(G:G)</f>
        <v>2025</v>
      </c>
    </row>
    <row r="241" spans="1:13" x14ac:dyDescent="0.25">
      <c r="A241" s="1" t="s">
        <v>7</v>
      </c>
      <c r="B241" s="1" t="s">
        <v>14</v>
      </c>
      <c r="C241">
        <v>2758</v>
      </c>
      <c r="D241">
        <v>3309600</v>
      </c>
      <c r="E241">
        <v>2206400</v>
      </c>
      <c r="F241">
        <v>1103200</v>
      </c>
      <c r="G241" s="2">
        <v>45698</v>
      </c>
      <c r="H241" s="3">
        <f>SUM(D:D)</f>
        <v>10447536600</v>
      </c>
      <c r="I241" s="4">
        <f>SUM(F:F)</f>
        <v>2099369250</v>
      </c>
      <c r="J241" s="4">
        <f>SUM(E:E)</f>
        <v>8348167350</v>
      </c>
      <c r="K241">
        <f>SUM(C:C)</f>
        <v>1017885</v>
      </c>
      <c r="L241">
        <f>MONTH(G:G)</f>
        <v>2</v>
      </c>
      <c r="M241">
        <f>YEAR(G:G)</f>
        <v>2025</v>
      </c>
    </row>
    <row r="242" spans="1:13" x14ac:dyDescent="0.25">
      <c r="A242" s="1" t="s">
        <v>20</v>
      </c>
      <c r="B242" s="1" t="s">
        <v>10</v>
      </c>
      <c r="C242">
        <v>759</v>
      </c>
      <c r="D242">
        <v>2656500</v>
      </c>
      <c r="E242">
        <v>1973400</v>
      </c>
      <c r="F242">
        <v>683100</v>
      </c>
      <c r="G242" s="2">
        <v>45690</v>
      </c>
      <c r="H242" s="3">
        <f>SUM(D:D)</f>
        <v>10447536600</v>
      </c>
      <c r="I242" s="4">
        <f>SUM(F:F)</f>
        <v>2099369250</v>
      </c>
      <c r="J242" s="4">
        <f>SUM(E:E)</f>
        <v>8348167350</v>
      </c>
      <c r="K242">
        <f>SUM(C:C)</f>
        <v>1017885</v>
      </c>
      <c r="L242">
        <f>MONTH(G:G)</f>
        <v>2</v>
      </c>
      <c r="M242">
        <f>YEAR(G:G)</f>
        <v>2025</v>
      </c>
    </row>
    <row r="243" spans="1:13" x14ac:dyDescent="0.25">
      <c r="A243" s="1" t="s">
        <v>22</v>
      </c>
      <c r="B243" s="1" t="s">
        <v>23</v>
      </c>
      <c r="C243">
        <v>2082</v>
      </c>
      <c r="D243">
        <v>10410000</v>
      </c>
      <c r="E243">
        <v>8744400</v>
      </c>
      <c r="F243">
        <v>1665600</v>
      </c>
      <c r="G243" s="2">
        <v>45710</v>
      </c>
      <c r="H243" s="3">
        <f>SUM(D:D)</f>
        <v>10447536600</v>
      </c>
      <c r="I243" s="4">
        <f>SUM(F:F)</f>
        <v>2099369250</v>
      </c>
      <c r="J243" s="4">
        <f>SUM(E:E)</f>
        <v>8348167350</v>
      </c>
      <c r="K243">
        <f>SUM(C:C)</f>
        <v>1017885</v>
      </c>
      <c r="L243">
        <f>MONTH(G:G)</f>
        <v>2</v>
      </c>
      <c r="M243">
        <f>YEAR(G:G)</f>
        <v>2025</v>
      </c>
    </row>
    <row r="244" spans="1:13" x14ac:dyDescent="0.25">
      <c r="A244" s="1" t="s">
        <v>11</v>
      </c>
      <c r="B244" s="1" t="s">
        <v>10</v>
      </c>
      <c r="C244">
        <v>2048</v>
      </c>
      <c r="D244">
        <v>7168000</v>
      </c>
      <c r="E244">
        <v>5324800</v>
      </c>
      <c r="F244">
        <v>1843200</v>
      </c>
      <c r="G244" s="2">
        <v>45716</v>
      </c>
      <c r="H244" s="3">
        <f>SUM(D:D)</f>
        <v>10447536600</v>
      </c>
      <c r="I244" s="4">
        <f>SUM(F:F)</f>
        <v>2099369250</v>
      </c>
      <c r="J244" s="4">
        <f>SUM(E:E)</f>
        <v>8348167350</v>
      </c>
      <c r="K244">
        <f>SUM(C:C)</f>
        <v>1017885</v>
      </c>
      <c r="L244">
        <f>MONTH(G:G)</f>
        <v>2</v>
      </c>
      <c r="M244">
        <f>YEAR(G:G)</f>
        <v>2025</v>
      </c>
    </row>
    <row r="245" spans="1:13" x14ac:dyDescent="0.25">
      <c r="A245" s="1" t="s">
        <v>9</v>
      </c>
      <c r="B245" s="1" t="s">
        <v>12</v>
      </c>
      <c r="C245">
        <v>899</v>
      </c>
      <c r="D245">
        <v>1078800</v>
      </c>
      <c r="E245">
        <v>764150</v>
      </c>
      <c r="F245">
        <v>314650</v>
      </c>
      <c r="G245" s="2">
        <v>45697</v>
      </c>
      <c r="H245" s="3">
        <f>SUM(D:D)</f>
        <v>10447536600</v>
      </c>
      <c r="I245" s="4">
        <f>SUM(F:F)</f>
        <v>2099369250</v>
      </c>
      <c r="J245" s="4">
        <f>SUM(E:E)</f>
        <v>8348167350</v>
      </c>
      <c r="K245">
        <f>SUM(C:C)</f>
        <v>1017885</v>
      </c>
      <c r="L245">
        <f>MONTH(G:G)</f>
        <v>2</v>
      </c>
      <c r="M245">
        <f>YEAR(G:G)</f>
        <v>2025</v>
      </c>
    </row>
    <row r="246" spans="1:13" x14ac:dyDescent="0.25">
      <c r="A246" s="1" t="s">
        <v>7</v>
      </c>
      <c r="B246" s="1" t="s">
        <v>14</v>
      </c>
      <c r="C246">
        <v>219</v>
      </c>
      <c r="D246">
        <v>262800</v>
      </c>
      <c r="E246">
        <v>175200</v>
      </c>
      <c r="F246">
        <v>87600</v>
      </c>
      <c r="G246" s="2">
        <v>45697</v>
      </c>
      <c r="H246" s="3">
        <f>SUM(D:D)</f>
        <v>10447536600</v>
      </c>
      <c r="I246" s="4">
        <f>SUM(F:F)</f>
        <v>2099369250</v>
      </c>
      <c r="J246" s="4">
        <f>SUM(E:E)</f>
        <v>8348167350</v>
      </c>
      <c r="K246">
        <f>SUM(C:C)</f>
        <v>1017885</v>
      </c>
      <c r="L246">
        <f>MONTH(G:G)</f>
        <v>2</v>
      </c>
      <c r="M246">
        <f>YEAR(G:G)</f>
        <v>2025</v>
      </c>
    </row>
    <row r="247" spans="1:13" x14ac:dyDescent="0.25">
      <c r="A247" s="1" t="s">
        <v>9</v>
      </c>
      <c r="B247" s="1" t="s">
        <v>10</v>
      </c>
      <c r="C247">
        <v>503</v>
      </c>
      <c r="D247">
        <v>1760500</v>
      </c>
      <c r="E247">
        <v>1307800</v>
      </c>
      <c r="F247">
        <v>452700</v>
      </c>
      <c r="G247" s="2">
        <v>45690</v>
      </c>
      <c r="H247" s="3">
        <f>SUM(D:D)</f>
        <v>10447536600</v>
      </c>
      <c r="I247" s="4">
        <f>SUM(F:F)</f>
        <v>2099369250</v>
      </c>
      <c r="J247" s="4">
        <f>SUM(E:E)</f>
        <v>8348167350</v>
      </c>
      <c r="K247">
        <f>SUM(C:C)</f>
        <v>1017885</v>
      </c>
      <c r="L247">
        <f>MONTH(G:G)</f>
        <v>2</v>
      </c>
      <c r="M247">
        <f>YEAR(G:G)</f>
        <v>2025</v>
      </c>
    </row>
    <row r="248" spans="1:13" x14ac:dyDescent="0.25">
      <c r="A248" s="1" t="s">
        <v>13</v>
      </c>
      <c r="B248" s="1" t="s">
        <v>12</v>
      </c>
      <c r="C248">
        <v>2035</v>
      </c>
      <c r="D248">
        <v>2442000</v>
      </c>
      <c r="E248">
        <v>1729750</v>
      </c>
      <c r="F248">
        <v>712250</v>
      </c>
      <c r="G248" s="2">
        <v>45691</v>
      </c>
      <c r="H248" s="3">
        <f>SUM(D:D)</f>
        <v>10447536600</v>
      </c>
      <c r="I248" s="4">
        <f>SUM(F:F)</f>
        <v>2099369250</v>
      </c>
      <c r="J248" s="4">
        <f>SUM(E:E)</f>
        <v>8348167350</v>
      </c>
      <c r="K248">
        <f>SUM(C:C)</f>
        <v>1017885</v>
      </c>
      <c r="L248">
        <f>MONTH(G:G)</f>
        <v>2</v>
      </c>
      <c r="M248">
        <f>YEAR(G:G)</f>
        <v>2025</v>
      </c>
    </row>
    <row r="249" spans="1:13" x14ac:dyDescent="0.25">
      <c r="A249" s="1" t="s">
        <v>13</v>
      </c>
      <c r="B249" s="1" t="s">
        <v>17</v>
      </c>
      <c r="C249">
        <v>409</v>
      </c>
      <c r="D249">
        <v>6135000</v>
      </c>
      <c r="E249">
        <v>4499000</v>
      </c>
      <c r="F249">
        <v>1636000</v>
      </c>
      <c r="G249" s="2">
        <v>45711</v>
      </c>
      <c r="H249" s="3">
        <f>SUM(D:D)</f>
        <v>10447536600</v>
      </c>
      <c r="I249" s="4">
        <f>SUM(F:F)</f>
        <v>2099369250</v>
      </c>
      <c r="J249" s="4">
        <f>SUM(E:E)</f>
        <v>8348167350</v>
      </c>
      <c r="K249">
        <f>SUM(C:C)</f>
        <v>1017885</v>
      </c>
      <c r="L249">
        <f>MONTH(G:G)</f>
        <v>2</v>
      </c>
      <c r="M249">
        <f>YEAR(G:G)</f>
        <v>2025</v>
      </c>
    </row>
    <row r="250" spans="1:13" x14ac:dyDescent="0.25">
      <c r="A250" s="1" t="s">
        <v>21</v>
      </c>
      <c r="B250" s="1" t="s">
        <v>14</v>
      </c>
      <c r="C250">
        <v>749</v>
      </c>
      <c r="D250">
        <v>898800</v>
      </c>
      <c r="E250">
        <v>599200</v>
      </c>
      <c r="F250">
        <v>299600</v>
      </c>
      <c r="G250" s="2">
        <v>45713</v>
      </c>
      <c r="H250" s="3">
        <f>SUM(D:D)</f>
        <v>10447536600</v>
      </c>
      <c r="I250" s="4">
        <f>SUM(F:F)</f>
        <v>2099369250</v>
      </c>
      <c r="J250" s="4">
        <f>SUM(E:E)</f>
        <v>8348167350</v>
      </c>
      <c r="K250">
        <f>SUM(C:C)</f>
        <v>1017885</v>
      </c>
      <c r="L250">
        <f>MONTH(G:G)</f>
        <v>2</v>
      </c>
      <c r="M250">
        <f>YEAR(G:G)</f>
        <v>2025</v>
      </c>
    </row>
    <row r="251" spans="1:13" x14ac:dyDescent="0.25">
      <c r="A251" s="1" t="s">
        <v>11</v>
      </c>
      <c r="B251" s="1" t="s">
        <v>10</v>
      </c>
      <c r="C251">
        <v>1043</v>
      </c>
      <c r="D251">
        <v>3650500</v>
      </c>
      <c r="E251">
        <v>2711800</v>
      </c>
      <c r="F251">
        <v>938700</v>
      </c>
      <c r="G251" s="2">
        <v>45696</v>
      </c>
      <c r="H251" s="3">
        <f>SUM(D:D)</f>
        <v>10447536600</v>
      </c>
      <c r="I251" s="4">
        <f>SUM(F:F)</f>
        <v>2099369250</v>
      </c>
      <c r="J251" s="4">
        <f>SUM(E:E)</f>
        <v>8348167350</v>
      </c>
      <c r="K251">
        <f>SUM(C:C)</f>
        <v>1017885</v>
      </c>
      <c r="L251">
        <f>MONTH(G:G)</f>
        <v>2</v>
      </c>
      <c r="M251">
        <f>YEAR(G:G)</f>
        <v>2025</v>
      </c>
    </row>
    <row r="252" spans="1:13" x14ac:dyDescent="0.25">
      <c r="A252" s="1" t="s">
        <v>18</v>
      </c>
      <c r="B252" s="1" t="s">
        <v>23</v>
      </c>
      <c r="C252">
        <v>2556</v>
      </c>
      <c r="D252">
        <v>12780000</v>
      </c>
      <c r="E252">
        <v>10735200</v>
      </c>
      <c r="F252">
        <v>2044800</v>
      </c>
      <c r="G252" s="2">
        <v>45716</v>
      </c>
      <c r="H252" s="3">
        <f>SUM(D:D)</f>
        <v>10447536600</v>
      </c>
      <c r="I252" s="4">
        <f>SUM(F:F)</f>
        <v>2099369250</v>
      </c>
      <c r="J252" s="4">
        <f>SUM(E:E)</f>
        <v>8348167350</v>
      </c>
      <c r="K252">
        <f>SUM(C:C)</f>
        <v>1017885</v>
      </c>
      <c r="L252">
        <f>MONTH(G:G)</f>
        <v>2</v>
      </c>
      <c r="M252">
        <f>YEAR(G:G)</f>
        <v>2025</v>
      </c>
    </row>
    <row r="253" spans="1:13" x14ac:dyDescent="0.25">
      <c r="A253" s="1" t="s">
        <v>15</v>
      </c>
      <c r="B253" s="1" t="s">
        <v>23</v>
      </c>
      <c r="C253">
        <v>1580</v>
      </c>
      <c r="D253">
        <v>7900000</v>
      </c>
      <c r="E253">
        <v>6636000</v>
      </c>
      <c r="F253">
        <v>1264000</v>
      </c>
      <c r="G253" s="2">
        <v>45699</v>
      </c>
      <c r="H253" s="3">
        <f>SUM(D:D)</f>
        <v>10447536600</v>
      </c>
      <c r="I253" s="4">
        <f>SUM(F:F)</f>
        <v>2099369250</v>
      </c>
      <c r="J253" s="4">
        <f>SUM(E:E)</f>
        <v>8348167350</v>
      </c>
      <c r="K253">
        <f>SUM(C:C)</f>
        <v>1017885</v>
      </c>
      <c r="L253">
        <f>MONTH(G:G)</f>
        <v>2</v>
      </c>
      <c r="M253">
        <f>YEAR(G:G)</f>
        <v>2025</v>
      </c>
    </row>
    <row r="254" spans="1:13" x14ac:dyDescent="0.25">
      <c r="A254" s="1" t="s">
        <v>13</v>
      </c>
      <c r="B254" s="1" t="s">
        <v>14</v>
      </c>
      <c r="C254">
        <v>1344</v>
      </c>
      <c r="D254">
        <v>1612800</v>
      </c>
      <c r="E254">
        <v>1075200</v>
      </c>
      <c r="F254">
        <v>537600</v>
      </c>
      <c r="G254" s="2">
        <v>45690</v>
      </c>
      <c r="H254" s="3">
        <f>SUM(D:D)</f>
        <v>10447536600</v>
      </c>
      <c r="I254" s="4">
        <f>SUM(F:F)</f>
        <v>2099369250</v>
      </c>
      <c r="J254" s="4">
        <f>SUM(E:E)</f>
        <v>8348167350</v>
      </c>
      <c r="K254">
        <f>SUM(C:C)</f>
        <v>1017885</v>
      </c>
      <c r="L254">
        <f>MONTH(G:G)</f>
        <v>2</v>
      </c>
      <c r="M254">
        <f>YEAR(G:G)</f>
        <v>2025</v>
      </c>
    </row>
    <row r="255" spans="1:13" x14ac:dyDescent="0.25">
      <c r="A255" s="1" t="s">
        <v>11</v>
      </c>
      <c r="B255" s="1" t="s">
        <v>8</v>
      </c>
      <c r="C255">
        <v>1393</v>
      </c>
      <c r="D255">
        <v>4179000</v>
      </c>
      <c r="E255">
        <v>2507400</v>
      </c>
      <c r="F255">
        <v>1671600</v>
      </c>
      <c r="G255" s="2">
        <v>45705</v>
      </c>
      <c r="H255" s="3">
        <f>SUM(D:D)</f>
        <v>10447536600</v>
      </c>
      <c r="I255" s="4">
        <f>SUM(F:F)</f>
        <v>2099369250</v>
      </c>
      <c r="J255" s="4">
        <f>SUM(E:E)</f>
        <v>8348167350</v>
      </c>
      <c r="K255">
        <f>SUM(C:C)</f>
        <v>1017885</v>
      </c>
      <c r="L255">
        <f>MONTH(G:G)</f>
        <v>2</v>
      </c>
      <c r="M255">
        <f>YEAR(G:G)</f>
        <v>2025</v>
      </c>
    </row>
    <row r="256" spans="1:13" x14ac:dyDescent="0.25">
      <c r="A256" s="1" t="s">
        <v>7</v>
      </c>
      <c r="B256" s="1" t="s">
        <v>10</v>
      </c>
      <c r="C256">
        <v>1818</v>
      </c>
      <c r="D256">
        <v>6363000</v>
      </c>
      <c r="E256">
        <v>4726800</v>
      </c>
      <c r="F256">
        <v>1636200</v>
      </c>
      <c r="G256" s="2">
        <v>45712</v>
      </c>
      <c r="H256" s="3">
        <f>SUM(D:D)</f>
        <v>10447536600</v>
      </c>
      <c r="I256" s="4">
        <f>SUM(F:F)</f>
        <v>2099369250</v>
      </c>
      <c r="J256" s="4">
        <f>SUM(E:E)</f>
        <v>8348167350</v>
      </c>
      <c r="K256">
        <f>SUM(C:C)</f>
        <v>1017885</v>
      </c>
      <c r="L256">
        <f>MONTH(G:G)</f>
        <v>2</v>
      </c>
      <c r="M256">
        <f>YEAR(G:G)</f>
        <v>2025</v>
      </c>
    </row>
    <row r="257" spans="1:13" x14ac:dyDescent="0.25">
      <c r="A257" s="1" t="s">
        <v>9</v>
      </c>
      <c r="B257" s="1" t="s">
        <v>17</v>
      </c>
      <c r="C257">
        <v>2968</v>
      </c>
      <c r="D257">
        <v>44520000</v>
      </c>
      <c r="E257">
        <v>32648000</v>
      </c>
      <c r="F257">
        <v>11872000</v>
      </c>
      <c r="G257" s="2">
        <v>45704</v>
      </c>
      <c r="H257" s="3">
        <f>SUM(D:D)</f>
        <v>10447536600</v>
      </c>
      <c r="I257" s="4">
        <f>SUM(F:F)</f>
        <v>2099369250</v>
      </c>
      <c r="J257" s="4">
        <f>SUM(E:E)</f>
        <v>8348167350</v>
      </c>
      <c r="K257">
        <f>SUM(C:C)</f>
        <v>1017885</v>
      </c>
      <c r="L257">
        <f>MONTH(G:G)</f>
        <v>2</v>
      </c>
      <c r="M257">
        <f>YEAR(G:G)</f>
        <v>2025</v>
      </c>
    </row>
    <row r="258" spans="1:13" x14ac:dyDescent="0.25">
      <c r="A258" s="1" t="s">
        <v>13</v>
      </c>
      <c r="B258" s="1" t="s">
        <v>8</v>
      </c>
      <c r="C258">
        <v>63</v>
      </c>
      <c r="D258">
        <v>189000</v>
      </c>
      <c r="E258">
        <v>113400</v>
      </c>
      <c r="F258">
        <v>75600</v>
      </c>
      <c r="G258" s="2">
        <v>45696</v>
      </c>
      <c r="H258" s="3">
        <f>SUM(D:D)</f>
        <v>10447536600</v>
      </c>
      <c r="I258" s="4">
        <f>SUM(F:F)</f>
        <v>2099369250</v>
      </c>
      <c r="J258" s="4">
        <f>SUM(E:E)</f>
        <v>8348167350</v>
      </c>
      <c r="K258">
        <f>SUM(C:C)</f>
        <v>1017885</v>
      </c>
      <c r="L258">
        <f>MONTH(G:G)</f>
        <v>2</v>
      </c>
      <c r="M258">
        <f>YEAR(G:G)</f>
        <v>2025</v>
      </c>
    </row>
    <row r="259" spans="1:13" x14ac:dyDescent="0.25">
      <c r="A259" s="1" t="s">
        <v>7</v>
      </c>
      <c r="B259" s="1" t="s">
        <v>17</v>
      </c>
      <c r="C259">
        <v>2032</v>
      </c>
      <c r="D259">
        <v>30480000</v>
      </c>
      <c r="E259">
        <v>22352000</v>
      </c>
      <c r="F259">
        <v>8128000</v>
      </c>
      <c r="G259" s="2">
        <v>45697</v>
      </c>
      <c r="H259" s="3">
        <f>SUM(D:D)</f>
        <v>10447536600</v>
      </c>
      <c r="I259" s="4">
        <f>SUM(F:F)</f>
        <v>2099369250</v>
      </c>
      <c r="J259" s="4">
        <f>SUM(E:E)</f>
        <v>8348167350</v>
      </c>
      <c r="K259">
        <f>SUM(C:C)</f>
        <v>1017885</v>
      </c>
      <c r="L259">
        <f>MONTH(G:G)</f>
        <v>2</v>
      </c>
      <c r="M259">
        <f>YEAR(G:G)</f>
        <v>2025</v>
      </c>
    </row>
    <row r="260" spans="1:13" x14ac:dyDescent="0.25">
      <c r="A260" s="1" t="s">
        <v>9</v>
      </c>
      <c r="B260" s="1" t="s">
        <v>8</v>
      </c>
      <c r="C260">
        <v>1762</v>
      </c>
      <c r="D260">
        <v>5286000</v>
      </c>
      <c r="E260">
        <v>3171600</v>
      </c>
      <c r="F260">
        <v>2114400</v>
      </c>
      <c r="G260" s="2">
        <v>45692</v>
      </c>
      <c r="H260" s="3">
        <f>SUM(D:D)</f>
        <v>10447536600</v>
      </c>
      <c r="I260" s="4">
        <f>SUM(F:F)</f>
        <v>2099369250</v>
      </c>
      <c r="J260" s="4">
        <f>SUM(E:E)</f>
        <v>8348167350</v>
      </c>
      <c r="K260">
        <f>SUM(C:C)</f>
        <v>1017885</v>
      </c>
      <c r="L260">
        <f>MONTH(G:G)</f>
        <v>2</v>
      </c>
      <c r="M260">
        <f>YEAR(G:G)</f>
        <v>2025</v>
      </c>
    </row>
    <row r="261" spans="1:13" x14ac:dyDescent="0.25">
      <c r="A261" s="1" t="s">
        <v>7</v>
      </c>
      <c r="B261" s="1" t="s">
        <v>8</v>
      </c>
      <c r="C261">
        <v>2963</v>
      </c>
      <c r="D261">
        <v>8889000</v>
      </c>
      <c r="E261">
        <v>5333400</v>
      </c>
      <c r="F261">
        <v>3555600</v>
      </c>
      <c r="G261" s="2">
        <v>45690</v>
      </c>
      <c r="H261" s="3">
        <f>SUM(D:D)</f>
        <v>10447536600</v>
      </c>
      <c r="I261" s="4">
        <f>SUM(F:F)</f>
        <v>2099369250</v>
      </c>
      <c r="J261" s="4">
        <f>SUM(E:E)</f>
        <v>8348167350</v>
      </c>
      <c r="K261">
        <f>SUM(C:C)</f>
        <v>1017885</v>
      </c>
      <c r="L261">
        <f>MONTH(G:G)</f>
        <v>2</v>
      </c>
      <c r="M261">
        <f>YEAR(G:G)</f>
        <v>2025</v>
      </c>
    </row>
    <row r="262" spans="1:13" x14ac:dyDescent="0.25">
      <c r="A262" s="1" t="s">
        <v>16</v>
      </c>
      <c r="B262" s="1" t="s">
        <v>23</v>
      </c>
      <c r="C262">
        <v>887</v>
      </c>
      <c r="D262">
        <v>4435000</v>
      </c>
      <c r="E262">
        <v>3725400</v>
      </c>
      <c r="F262">
        <v>709600</v>
      </c>
      <c r="G262" s="2">
        <v>45705</v>
      </c>
      <c r="H262" s="3">
        <f>SUM(D:D)</f>
        <v>10447536600</v>
      </c>
      <c r="I262" s="4">
        <f>SUM(F:F)</f>
        <v>2099369250</v>
      </c>
      <c r="J262" s="4">
        <f>SUM(E:E)</f>
        <v>8348167350</v>
      </c>
      <c r="K262">
        <f>SUM(C:C)</f>
        <v>1017885</v>
      </c>
      <c r="L262">
        <f>MONTH(G:G)</f>
        <v>2</v>
      </c>
      <c r="M262">
        <f>YEAR(G:G)</f>
        <v>2025</v>
      </c>
    </row>
    <row r="263" spans="1:13" x14ac:dyDescent="0.25">
      <c r="A263" s="1" t="s">
        <v>15</v>
      </c>
      <c r="B263" s="1" t="s">
        <v>14</v>
      </c>
      <c r="C263">
        <v>2006</v>
      </c>
      <c r="D263">
        <v>2407200</v>
      </c>
      <c r="E263">
        <v>1604800</v>
      </c>
      <c r="F263">
        <v>802400</v>
      </c>
      <c r="G263" s="2">
        <v>45716</v>
      </c>
      <c r="H263" s="3">
        <f>SUM(D:D)</f>
        <v>10447536600</v>
      </c>
      <c r="I263" s="4">
        <f>SUM(F:F)</f>
        <v>2099369250</v>
      </c>
      <c r="J263" s="4">
        <f>SUM(E:E)</f>
        <v>8348167350</v>
      </c>
      <c r="K263">
        <f>SUM(C:C)</f>
        <v>1017885</v>
      </c>
      <c r="L263">
        <f>MONTH(G:G)</f>
        <v>2</v>
      </c>
      <c r="M263">
        <f>YEAR(G:G)</f>
        <v>2025</v>
      </c>
    </row>
    <row r="264" spans="1:13" x14ac:dyDescent="0.25">
      <c r="A264" s="1" t="s">
        <v>21</v>
      </c>
      <c r="B264" s="1" t="s">
        <v>19</v>
      </c>
      <c r="C264">
        <v>1989</v>
      </c>
      <c r="D264">
        <v>89505000</v>
      </c>
      <c r="E264">
        <v>75582000</v>
      </c>
      <c r="F264">
        <v>13923000</v>
      </c>
      <c r="G264" s="2">
        <v>45714</v>
      </c>
      <c r="H264" s="3">
        <f>SUM(D:D)</f>
        <v>10447536600</v>
      </c>
      <c r="I264" s="4">
        <f>SUM(F:F)</f>
        <v>2099369250</v>
      </c>
      <c r="J264" s="4">
        <f>SUM(E:E)</f>
        <v>8348167350</v>
      </c>
      <c r="K264">
        <f>SUM(C:C)</f>
        <v>1017885</v>
      </c>
      <c r="L264">
        <f>MONTH(G:G)</f>
        <v>2</v>
      </c>
      <c r="M264">
        <f>YEAR(G:G)</f>
        <v>2025</v>
      </c>
    </row>
    <row r="265" spans="1:13" x14ac:dyDescent="0.25">
      <c r="A265" s="1" t="s">
        <v>11</v>
      </c>
      <c r="B265" s="1" t="s">
        <v>12</v>
      </c>
      <c r="C265">
        <v>179</v>
      </c>
      <c r="D265">
        <v>214800</v>
      </c>
      <c r="E265">
        <v>152150</v>
      </c>
      <c r="F265">
        <v>62650</v>
      </c>
      <c r="G265" s="2">
        <v>45718</v>
      </c>
      <c r="H265" s="3">
        <f>SUM(D:D)</f>
        <v>10447536600</v>
      </c>
      <c r="I265" s="4">
        <f>SUM(F:F)</f>
        <v>2099369250</v>
      </c>
      <c r="J265" s="4">
        <f>SUM(E:E)</f>
        <v>8348167350</v>
      </c>
      <c r="K265">
        <f>SUM(C:C)</f>
        <v>1017885</v>
      </c>
      <c r="L265">
        <f>MONTH(G:G)</f>
        <v>3</v>
      </c>
      <c r="M265">
        <f>YEAR(G:G)</f>
        <v>2025</v>
      </c>
    </row>
    <row r="266" spans="1:13" x14ac:dyDescent="0.25">
      <c r="A266" s="1" t="s">
        <v>22</v>
      </c>
      <c r="B266" s="1" t="s">
        <v>14</v>
      </c>
      <c r="C266">
        <v>1812</v>
      </c>
      <c r="D266">
        <v>2174400</v>
      </c>
      <c r="E266">
        <v>1449600</v>
      </c>
      <c r="F266">
        <v>724800</v>
      </c>
      <c r="G266" s="2">
        <v>45746</v>
      </c>
      <c r="H266" s="3">
        <f>SUM(D:D)</f>
        <v>10447536600</v>
      </c>
      <c r="I266" s="4">
        <f>SUM(F:F)</f>
        <v>2099369250</v>
      </c>
      <c r="J266" s="4">
        <f>SUM(E:E)</f>
        <v>8348167350</v>
      </c>
      <c r="K266">
        <f>SUM(C:C)</f>
        <v>1017885</v>
      </c>
      <c r="L266">
        <f>MONTH(G:G)</f>
        <v>3</v>
      </c>
      <c r="M266">
        <f>YEAR(G:G)</f>
        <v>2025</v>
      </c>
    </row>
    <row r="267" spans="1:13" x14ac:dyDescent="0.25">
      <c r="A267" s="1" t="s">
        <v>9</v>
      </c>
      <c r="B267" s="1" t="s">
        <v>12</v>
      </c>
      <c r="C267">
        <v>221</v>
      </c>
      <c r="D267">
        <v>265200</v>
      </c>
      <c r="E267">
        <v>187850</v>
      </c>
      <c r="F267">
        <v>77350</v>
      </c>
      <c r="G267" s="2">
        <v>45745</v>
      </c>
      <c r="H267" s="3">
        <f>SUM(D:D)</f>
        <v>10447536600</v>
      </c>
      <c r="I267" s="4">
        <f>SUM(F:F)</f>
        <v>2099369250</v>
      </c>
      <c r="J267" s="4">
        <f>SUM(E:E)</f>
        <v>8348167350</v>
      </c>
      <c r="K267">
        <f>SUM(C:C)</f>
        <v>1017885</v>
      </c>
      <c r="L267">
        <f>MONTH(G:G)</f>
        <v>3</v>
      </c>
      <c r="M267">
        <f>YEAR(G:G)</f>
        <v>2025</v>
      </c>
    </row>
    <row r="268" spans="1:13" x14ac:dyDescent="0.25">
      <c r="A268" s="1" t="s">
        <v>15</v>
      </c>
      <c r="B268" s="1" t="s">
        <v>23</v>
      </c>
      <c r="C268">
        <v>265</v>
      </c>
      <c r="D268">
        <v>1325000</v>
      </c>
      <c r="E268">
        <v>1113000</v>
      </c>
      <c r="F268">
        <v>212000</v>
      </c>
      <c r="G268" s="2">
        <v>45718</v>
      </c>
      <c r="H268" s="3">
        <f>SUM(D:D)</f>
        <v>10447536600</v>
      </c>
      <c r="I268" s="4">
        <f>SUM(F:F)</f>
        <v>2099369250</v>
      </c>
      <c r="J268" s="4">
        <f>SUM(E:E)</f>
        <v>8348167350</v>
      </c>
      <c r="K268">
        <f>SUM(C:C)</f>
        <v>1017885</v>
      </c>
      <c r="L268">
        <f>MONTH(G:G)</f>
        <v>3</v>
      </c>
      <c r="M268">
        <f>YEAR(G:G)</f>
        <v>2025</v>
      </c>
    </row>
    <row r="269" spans="1:13" x14ac:dyDescent="0.25">
      <c r="A269" s="1" t="s">
        <v>11</v>
      </c>
      <c r="B269" s="1" t="s">
        <v>19</v>
      </c>
      <c r="C269">
        <v>984</v>
      </c>
      <c r="D269">
        <v>44280000</v>
      </c>
      <c r="E269">
        <v>37392000</v>
      </c>
      <c r="F269">
        <v>6888000</v>
      </c>
      <c r="G269" s="2">
        <v>45736</v>
      </c>
      <c r="H269" s="3">
        <f>SUM(D:D)</f>
        <v>10447536600</v>
      </c>
      <c r="I269" s="4">
        <f>SUM(F:F)</f>
        <v>2099369250</v>
      </c>
      <c r="J269" s="4">
        <f>SUM(E:E)</f>
        <v>8348167350</v>
      </c>
      <c r="K269">
        <f>SUM(C:C)</f>
        <v>1017885</v>
      </c>
      <c r="L269">
        <f>MONTH(G:G)</f>
        <v>3</v>
      </c>
      <c r="M269">
        <f>YEAR(G:G)</f>
        <v>2025</v>
      </c>
    </row>
    <row r="270" spans="1:13" x14ac:dyDescent="0.25">
      <c r="A270" s="1" t="s">
        <v>22</v>
      </c>
      <c r="B270" s="1" t="s">
        <v>8</v>
      </c>
      <c r="C270">
        <v>321</v>
      </c>
      <c r="D270">
        <v>963000</v>
      </c>
      <c r="E270">
        <v>577800</v>
      </c>
      <c r="F270">
        <v>385200</v>
      </c>
      <c r="G270" s="2">
        <v>45732</v>
      </c>
      <c r="H270" s="3">
        <f>SUM(D:D)</f>
        <v>10447536600</v>
      </c>
      <c r="I270" s="4">
        <f>SUM(F:F)</f>
        <v>2099369250</v>
      </c>
      <c r="J270" s="4">
        <f>SUM(E:E)</f>
        <v>8348167350</v>
      </c>
      <c r="K270">
        <f>SUM(C:C)</f>
        <v>1017885</v>
      </c>
      <c r="L270">
        <f>MONTH(G:G)</f>
        <v>3</v>
      </c>
      <c r="M270">
        <f>YEAR(G:G)</f>
        <v>2025</v>
      </c>
    </row>
    <row r="271" spans="1:13" x14ac:dyDescent="0.25">
      <c r="A271" s="1" t="s">
        <v>7</v>
      </c>
      <c r="B271" s="1" t="s">
        <v>19</v>
      </c>
      <c r="C271">
        <v>1878</v>
      </c>
      <c r="D271">
        <v>84510000</v>
      </c>
      <c r="E271">
        <v>71364000</v>
      </c>
      <c r="F271">
        <v>13146000</v>
      </c>
      <c r="G271" s="2">
        <v>45719</v>
      </c>
      <c r="H271" s="3">
        <f>SUM(D:D)</f>
        <v>10447536600</v>
      </c>
      <c r="I271" s="4">
        <f>SUM(F:F)</f>
        <v>2099369250</v>
      </c>
      <c r="J271" s="4">
        <f>SUM(E:E)</f>
        <v>8348167350</v>
      </c>
      <c r="K271">
        <f>SUM(C:C)</f>
        <v>1017885</v>
      </c>
      <c r="L271">
        <f>MONTH(G:G)</f>
        <v>3</v>
      </c>
      <c r="M271">
        <f>YEAR(G:G)</f>
        <v>2025</v>
      </c>
    </row>
    <row r="272" spans="1:13" x14ac:dyDescent="0.25">
      <c r="A272" s="1" t="s">
        <v>21</v>
      </c>
      <c r="B272" s="1" t="s">
        <v>23</v>
      </c>
      <c r="C272">
        <v>1383</v>
      </c>
      <c r="D272">
        <v>6915000</v>
      </c>
      <c r="E272">
        <v>5808600</v>
      </c>
      <c r="F272">
        <v>1106400</v>
      </c>
      <c r="G272" s="2">
        <v>45744</v>
      </c>
      <c r="H272" s="3">
        <f>SUM(D:D)</f>
        <v>10447536600</v>
      </c>
      <c r="I272" s="4">
        <f>SUM(F:F)</f>
        <v>2099369250</v>
      </c>
      <c r="J272" s="4">
        <f>SUM(E:E)</f>
        <v>8348167350</v>
      </c>
      <c r="K272">
        <f>SUM(C:C)</f>
        <v>1017885</v>
      </c>
      <c r="L272">
        <f>MONTH(G:G)</f>
        <v>3</v>
      </c>
      <c r="M272">
        <f>YEAR(G:G)</f>
        <v>2025</v>
      </c>
    </row>
    <row r="273" spans="1:13" x14ac:dyDescent="0.25">
      <c r="A273" s="1" t="s">
        <v>7</v>
      </c>
      <c r="B273" s="1" t="s">
        <v>17</v>
      </c>
      <c r="C273">
        <v>986</v>
      </c>
      <c r="D273">
        <v>14790000</v>
      </c>
      <c r="E273">
        <v>10846000</v>
      </c>
      <c r="F273">
        <v>3944000</v>
      </c>
      <c r="G273" s="2">
        <v>45737</v>
      </c>
      <c r="H273" s="3">
        <f>SUM(D:D)</f>
        <v>10447536600</v>
      </c>
      <c r="I273" s="4">
        <f>SUM(F:F)</f>
        <v>2099369250</v>
      </c>
      <c r="J273" s="4">
        <f>SUM(E:E)</f>
        <v>8348167350</v>
      </c>
      <c r="K273">
        <f>SUM(C:C)</f>
        <v>1017885</v>
      </c>
      <c r="L273">
        <f>MONTH(G:G)</f>
        <v>3</v>
      </c>
      <c r="M273">
        <f>YEAR(G:G)</f>
        <v>2025</v>
      </c>
    </row>
    <row r="274" spans="1:13" x14ac:dyDescent="0.25">
      <c r="A274" s="1" t="s">
        <v>15</v>
      </c>
      <c r="B274" s="1" t="s">
        <v>12</v>
      </c>
      <c r="C274">
        <v>2313</v>
      </c>
      <c r="D274">
        <v>2775600</v>
      </c>
      <c r="E274">
        <v>1966050</v>
      </c>
      <c r="F274">
        <v>809550</v>
      </c>
      <c r="G274" s="2">
        <v>45747</v>
      </c>
      <c r="H274" s="3">
        <f>SUM(D:D)</f>
        <v>10447536600</v>
      </c>
      <c r="I274" s="4">
        <f>SUM(F:F)</f>
        <v>2099369250</v>
      </c>
      <c r="J274" s="4">
        <f>SUM(E:E)</f>
        <v>8348167350</v>
      </c>
      <c r="K274">
        <f>SUM(C:C)</f>
        <v>1017885</v>
      </c>
      <c r="L274">
        <f>MONTH(G:G)</f>
        <v>3</v>
      </c>
      <c r="M274">
        <f>YEAR(G:G)</f>
        <v>2025</v>
      </c>
    </row>
    <row r="275" spans="1:13" x14ac:dyDescent="0.25">
      <c r="A275" s="1" t="s">
        <v>20</v>
      </c>
      <c r="B275" s="1" t="s">
        <v>23</v>
      </c>
      <c r="C275">
        <v>1268</v>
      </c>
      <c r="D275">
        <v>6340000</v>
      </c>
      <c r="E275">
        <v>5325600</v>
      </c>
      <c r="F275">
        <v>1014400</v>
      </c>
      <c r="G275" s="2">
        <v>45740</v>
      </c>
      <c r="H275" s="3">
        <f>SUM(D:D)</f>
        <v>10447536600</v>
      </c>
      <c r="I275" s="4">
        <f>SUM(F:F)</f>
        <v>2099369250</v>
      </c>
      <c r="J275" s="4">
        <f>SUM(E:E)</f>
        <v>8348167350</v>
      </c>
      <c r="K275">
        <f>SUM(C:C)</f>
        <v>1017885</v>
      </c>
      <c r="L275">
        <f>MONTH(G:G)</f>
        <v>3</v>
      </c>
      <c r="M275">
        <f>YEAR(G:G)</f>
        <v>2025</v>
      </c>
    </row>
    <row r="276" spans="1:13" x14ac:dyDescent="0.25">
      <c r="A276" s="1" t="s">
        <v>7</v>
      </c>
      <c r="B276" s="1" t="s">
        <v>8</v>
      </c>
      <c r="C276">
        <v>1766</v>
      </c>
      <c r="D276">
        <v>5298000</v>
      </c>
      <c r="E276">
        <v>3178800</v>
      </c>
      <c r="F276">
        <v>2119200</v>
      </c>
      <c r="G276" s="2">
        <v>45738</v>
      </c>
      <c r="H276" s="3">
        <f>SUM(D:D)</f>
        <v>10447536600</v>
      </c>
      <c r="I276" s="4">
        <f>SUM(F:F)</f>
        <v>2099369250</v>
      </c>
      <c r="J276" s="4">
        <f>SUM(E:E)</f>
        <v>8348167350</v>
      </c>
      <c r="K276">
        <f>SUM(C:C)</f>
        <v>1017885</v>
      </c>
      <c r="L276">
        <f>MONTH(G:G)</f>
        <v>3</v>
      </c>
      <c r="M276">
        <f>YEAR(G:G)</f>
        <v>2025</v>
      </c>
    </row>
    <row r="277" spans="1:13" x14ac:dyDescent="0.25">
      <c r="A277" s="1" t="s">
        <v>15</v>
      </c>
      <c r="B277" s="1" t="s">
        <v>8</v>
      </c>
      <c r="C277">
        <v>2511</v>
      </c>
      <c r="D277">
        <v>7533000</v>
      </c>
      <c r="E277">
        <v>4519800</v>
      </c>
      <c r="F277">
        <v>3013200</v>
      </c>
      <c r="G277" s="2">
        <v>45746</v>
      </c>
      <c r="H277" s="3">
        <f>SUM(D:D)</f>
        <v>10447536600</v>
      </c>
      <c r="I277" s="4">
        <f>SUM(F:F)</f>
        <v>2099369250</v>
      </c>
      <c r="J277" s="4">
        <f>SUM(E:E)</f>
        <v>8348167350</v>
      </c>
      <c r="K277">
        <f>SUM(C:C)</f>
        <v>1017885</v>
      </c>
      <c r="L277">
        <f>MONTH(G:G)</f>
        <v>3</v>
      </c>
      <c r="M277">
        <f>YEAR(G:G)</f>
        <v>2025</v>
      </c>
    </row>
    <row r="278" spans="1:13" x14ac:dyDescent="0.25">
      <c r="A278" s="1" t="s">
        <v>9</v>
      </c>
      <c r="B278" s="1" t="s">
        <v>8</v>
      </c>
      <c r="C278">
        <v>70</v>
      </c>
      <c r="D278">
        <v>210000</v>
      </c>
      <c r="E278">
        <v>126000</v>
      </c>
      <c r="F278">
        <v>84000</v>
      </c>
      <c r="G278" s="2">
        <v>45740</v>
      </c>
      <c r="H278" s="3">
        <f>SUM(D:D)</f>
        <v>10447536600</v>
      </c>
      <c r="I278" s="4">
        <f>SUM(F:F)</f>
        <v>2099369250</v>
      </c>
      <c r="J278" s="4">
        <f>SUM(E:E)</f>
        <v>8348167350</v>
      </c>
      <c r="K278">
        <f>SUM(C:C)</f>
        <v>1017885</v>
      </c>
      <c r="L278">
        <f>MONTH(G:G)</f>
        <v>3</v>
      </c>
      <c r="M278">
        <f>YEAR(G:G)</f>
        <v>2025</v>
      </c>
    </row>
    <row r="279" spans="1:13" x14ac:dyDescent="0.25">
      <c r="A279" s="1" t="s">
        <v>22</v>
      </c>
      <c r="B279" s="1" t="s">
        <v>12</v>
      </c>
      <c r="C279">
        <v>1859</v>
      </c>
      <c r="D279">
        <v>2230800</v>
      </c>
      <c r="E279">
        <v>1580150</v>
      </c>
      <c r="F279">
        <v>650650</v>
      </c>
      <c r="G279" s="2">
        <v>45727</v>
      </c>
      <c r="H279" s="3">
        <f>SUM(D:D)</f>
        <v>10447536600</v>
      </c>
      <c r="I279" s="4">
        <f>SUM(F:F)</f>
        <v>2099369250</v>
      </c>
      <c r="J279" s="4">
        <f>SUM(E:E)</f>
        <v>8348167350</v>
      </c>
      <c r="K279">
        <f>SUM(C:C)</f>
        <v>1017885</v>
      </c>
      <c r="L279">
        <f>MONTH(G:G)</f>
        <v>3</v>
      </c>
      <c r="M279">
        <f>YEAR(G:G)</f>
        <v>2025</v>
      </c>
    </row>
    <row r="280" spans="1:13" x14ac:dyDescent="0.25">
      <c r="A280" s="1" t="s">
        <v>21</v>
      </c>
      <c r="B280" s="1" t="s">
        <v>12</v>
      </c>
      <c r="C280">
        <v>1133</v>
      </c>
      <c r="D280">
        <v>1359600</v>
      </c>
      <c r="E280">
        <v>963050</v>
      </c>
      <c r="F280">
        <v>396550</v>
      </c>
      <c r="G280" s="2">
        <v>45733</v>
      </c>
      <c r="H280" s="3">
        <f>SUM(D:D)</f>
        <v>10447536600</v>
      </c>
      <c r="I280" s="4">
        <f>SUM(F:F)</f>
        <v>2099369250</v>
      </c>
      <c r="J280" s="4">
        <f>SUM(E:E)</f>
        <v>8348167350</v>
      </c>
      <c r="K280">
        <f>SUM(C:C)</f>
        <v>1017885</v>
      </c>
      <c r="L280">
        <f>MONTH(G:G)</f>
        <v>3</v>
      </c>
      <c r="M280">
        <f>YEAR(G:G)</f>
        <v>2025</v>
      </c>
    </row>
    <row r="281" spans="1:13" x14ac:dyDescent="0.25">
      <c r="A281" s="1" t="s">
        <v>15</v>
      </c>
      <c r="B281" s="1" t="s">
        <v>17</v>
      </c>
      <c r="C281">
        <v>2001</v>
      </c>
      <c r="D281">
        <v>30015000</v>
      </c>
      <c r="E281">
        <v>22011000</v>
      </c>
      <c r="F281">
        <v>8004000</v>
      </c>
      <c r="G281" s="2">
        <v>45727</v>
      </c>
      <c r="H281" s="3">
        <f>SUM(D:D)</f>
        <v>10447536600</v>
      </c>
      <c r="I281" s="4">
        <f>SUM(F:F)</f>
        <v>2099369250</v>
      </c>
      <c r="J281" s="4">
        <f>SUM(E:E)</f>
        <v>8348167350</v>
      </c>
      <c r="K281">
        <f>SUM(C:C)</f>
        <v>1017885</v>
      </c>
      <c r="L281">
        <f>MONTH(G:G)</f>
        <v>3</v>
      </c>
      <c r="M281">
        <f>YEAR(G:G)</f>
        <v>2025</v>
      </c>
    </row>
    <row r="282" spans="1:13" x14ac:dyDescent="0.25">
      <c r="A282" s="1" t="s">
        <v>22</v>
      </c>
      <c r="B282" s="1" t="s">
        <v>10</v>
      </c>
      <c r="C282">
        <v>477</v>
      </c>
      <c r="D282">
        <v>1669500</v>
      </c>
      <c r="E282">
        <v>1240200</v>
      </c>
      <c r="F282">
        <v>429300</v>
      </c>
      <c r="G282" s="2">
        <v>45740</v>
      </c>
      <c r="H282" s="3">
        <f>SUM(D:D)</f>
        <v>10447536600</v>
      </c>
      <c r="I282" s="4">
        <f>SUM(F:F)</f>
        <v>2099369250</v>
      </c>
      <c r="J282" s="4">
        <f>SUM(E:E)</f>
        <v>8348167350</v>
      </c>
      <c r="K282">
        <f>SUM(C:C)</f>
        <v>1017885</v>
      </c>
      <c r="L282">
        <f>MONTH(G:G)</f>
        <v>3</v>
      </c>
      <c r="M282">
        <f>YEAR(G:G)</f>
        <v>2025</v>
      </c>
    </row>
    <row r="283" spans="1:13" x14ac:dyDescent="0.25">
      <c r="A283" s="1" t="s">
        <v>13</v>
      </c>
      <c r="B283" s="1" t="s">
        <v>17</v>
      </c>
      <c r="C283">
        <v>208</v>
      </c>
      <c r="D283">
        <v>3120000</v>
      </c>
      <c r="E283">
        <v>2288000</v>
      </c>
      <c r="F283">
        <v>832000</v>
      </c>
      <c r="G283" s="2">
        <v>45723</v>
      </c>
      <c r="H283" s="3">
        <f>SUM(D:D)</f>
        <v>10447536600</v>
      </c>
      <c r="I283" s="4">
        <f>SUM(F:F)</f>
        <v>2099369250</v>
      </c>
      <c r="J283" s="4">
        <f>SUM(E:E)</f>
        <v>8348167350</v>
      </c>
      <c r="K283">
        <f>SUM(C:C)</f>
        <v>1017885</v>
      </c>
      <c r="L283">
        <f>MONTH(G:G)</f>
        <v>3</v>
      </c>
      <c r="M283">
        <f>YEAR(G:G)</f>
        <v>2025</v>
      </c>
    </row>
    <row r="284" spans="1:13" x14ac:dyDescent="0.25">
      <c r="A284" s="1" t="s">
        <v>20</v>
      </c>
      <c r="B284" s="1" t="s">
        <v>19</v>
      </c>
      <c r="C284">
        <v>1357</v>
      </c>
      <c r="D284">
        <v>61065000</v>
      </c>
      <c r="E284">
        <v>51566000</v>
      </c>
      <c r="F284">
        <v>9499000</v>
      </c>
      <c r="G284" s="2">
        <v>45736</v>
      </c>
      <c r="H284" s="3">
        <f>SUM(D:D)</f>
        <v>10447536600</v>
      </c>
      <c r="I284" s="4">
        <f>SUM(F:F)</f>
        <v>2099369250</v>
      </c>
      <c r="J284" s="4">
        <f>SUM(E:E)</f>
        <v>8348167350</v>
      </c>
      <c r="K284">
        <f>SUM(C:C)</f>
        <v>1017885</v>
      </c>
      <c r="L284">
        <f>MONTH(G:G)</f>
        <v>3</v>
      </c>
      <c r="M284">
        <f>YEAR(G:G)</f>
        <v>2025</v>
      </c>
    </row>
    <row r="285" spans="1:13" x14ac:dyDescent="0.25">
      <c r="A285" s="1" t="s">
        <v>16</v>
      </c>
      <c r="B285" s="1" t="s">
        <v>17</v>
      </c>
      <c r="C285">
        <v>2934</v>
      </c>
      <c r="D285">
        <v>44010000</v>
      </c>
      <c r="E285">
        <v>32274000</v>
      </c>
      <c r="F285">
        <v>11736000</v>
      </c>
      <c r="G285" s="2">
        <v>45726</v>
      </c>
      <c r="H285" s="3">
        <f>SUM(D:D)</f>
        <v>10447536600</v>
      </c>
      <c r="I285" s="4">
        <f>SUM(F:F)</f>
        <v>2099369250</v>
      </c>
      <c r="J285" s="4">
        <f>SUM(E:E)</f>
        <v>8348167350</v>
      </c>
      <c r="K285">
        <f>SUM(C:C)</f>
        <v>1017885</v>
      </c>
      <c r="L285">
        <f>MONTH(G:G)</f>
        <v>3</v>
      </c>
      <c r="M285">
        <f>YEAR(G:G)</f>
        <v>2025</v>
      </c>
    </row>
    <row r="286" spans="1:13" x14ac:dyDescent="0.25">
      <c r="A286" s="1" t="s">
        <v>18</v>
      </c>
      <c r="B286" s="1" t="s">
        <v>23</v>
      </c>
      <c r="C286">
        <v>2083</v>
      </c>
      <c r="D286">
        <v>10415000</v>
      </c>
      <c r="E286">
        <v>8748600</v>
      </c>
      <c r="F286">
        <v>1666400</v>
      </c>
      <c r="G286" s="2">
        <v>45738</v>
      </c>
      <c r="H286" s="3">
        <f>SUM(D:D)</f>
        <v>10447536600</v>
      </c>
      <c r="I286" s="4">
        <f>SUM(F:F)</f>
        <v>2099369250</v>
      </c>
      <c r="J286" s="4">
        <f>SUM(E:E)</f>
        <v>8348167350</v>
      </c>
      <c r="K286">
        <f>SUM(C:C)</f>
        <v>1017885</v>
      </c>
      <c r="L286">
        <f>MONTH(G:G)</f>
        <v>3</v>
      </c>
      <c r="M286">
        <f>YEAR(G:G)</f>
        <v>2025</v>
      </c>
    </row>
    <row r="287" spans="1:13" x14ac:dyDescent="0.25">
      <c r="A287" s="1" t="s">
        <v>22</v>
      </c>
      <c r="B287" s="1" t="s">
        <v>14</v>
      </c>
      <c r="C287">
        <v>96</v>
      </c>
      <c r="D287">
        <v>115200</v>
      </c>
      <c r="E287">
        <v>76800</v>
      </c>
      <c r="F287">
        <v>38400</v>
      </c>
      <c r="G287" s="2">
        <v>45761</v>
      </c>
      <c r="H287" s="3">
        <f>SUM(D:D)</f>
        <v>10447536600</v>
      </c>
      <c r="I287" s="4">
        <f>SUM(F:F)</f>
        <v>2099369250</v>
      </c>
      <c r="J287" s="4">
        <f>SUM(E:E)</f>
        <v>8348167350</v>
      </c>
      <c r="K287">
        <f>SUM(C:C)</f>
        <v>1017885</v>
      </c>
      <c r="L287">
        <f>MONTH(G:G)</f>
        <v>4</v>
      </c>
      <c r="M287">
        <f>YEAR(G:G)</f>
        <v>2025</v>
      </c>
    </row>
    <row r="288" spans="1:13" x14ac:dyDescent="0.25">
      <c r="A288" s="1" t="s">
        <v>9</v>
      </c>
      <c r="B288" s="1" t="s">
        <v>10</v>
      </c>
      <c r="C288">
        <v>1347</v>
      </c>
      <c r="D288">
        <v>4714500</v>
      </c>
      <c r="E288">
        <v>3502200</v>
      </c>
      <c r="F288">
        <v>1212300</v>
      </c>
      <c r="G288" s="2">
        <v>45774</v>
      </c>
      <c r="H288" s="3">
        <f>SUM(D:D)</f>
        <v>10447536600</v>
      </c>
      <c r="I288" s="4">
        <f>SUM(F:F)</f>
        <v>2099369250</v>
      </c>
      <c r="J288" s="4">
        <f>SUM(E:E)</f>
        <v>8348167350</v>
      </c>
      <c r="K288">
        <f>SUM(C:C)</f>
        <v>1017885</v>
      </c>
      <c r="L288">
        <f>MONTH(G:G)</f>
        <v>4</v>
      </c>
      <c r="M288">
        <f>YEAR(G:G)</f>
        <v>2025</v>
      </c>
    </row>
    <row r="289" spans="1:13" x14ac:dyDescent="0.25">
      <c r="A289" s="1" t="s">
        <v>22</v>
      </c>
      <c r="B289" s="1" t="s">
        <v>19</v>
      </c>
      <c r="C289">
        <v>970</v>
      </c>
      <c r="D289">
        <v>43650000</v>
      </c>
      <c r="E289">
        <v>36860000</v>
      </c>
      <c r="F289">
        <v>6790000</v>
      </c>
      <c r="G289" s="2">
        <v>45750</v>
      </c>
      <c r="H289" s="3">
        <f>SUM(D:D)</f>
        <v>10447536600</v>
      </c>
      <c r="I289" s="4">
        <f>SUM(F:F)</f>
        <v>2099369250</v>
      </c>
      <c r="J289" s="4">
        <f>SUM(E:E)</f>
        <v>8348167350</v>
      </c>
      <c r="K289">
        <f>SUM(C:C)</f>
        <v>1017885</v>
      </c>
      <c r="L289">
        <f>MONTH(G:G)</f>
        <v>4</v>
      </c>
      <c r="M289">
        <f>YEAR(G:G)</f>
        <v>2025</v>
      </c>
    </row>
    <row r="290" spans="1:13" x14ac:dyDescent="0.25">
      <c r="A290" s="1" t="s">
        <v>7</v>
      </c>
      <c r="B290" s="1" t="s">
        <v>19</v>
      </c>
      <c r="C290">
        <v>942</v>
      </c>
      <c r="D290">
        <v>42390000</v>
      </c>
      <c r="E290">
        <v>35796000</v>
      </c>
      <c r="F290">
        <v>6594000</v>
      </c>
      <c r="G290" s="2">
        <v>45751</v>
      </c>
      <c r="H290" s="3">
        <f>SUM(D:D)</f>
        <v>10447536600</v>
      </c>
      <c r="I290" s="4">
        <f>SUM(F:F)</f>
        <v>2099369250</v>
      </c>
      <c r="J290" s="4">
        <f>SUM(E:E)</f>
        <v>8348167350</v>
      </c>
      <c r="K290">
        <f>SUM(C:C)</f>
        <v>1017885</v>
      </c>
      <c r="L290">
        <f>MONTH(G:G)</f>
        <v>4</v>
      </c>
      <c r="M290">
        <f>YEAR(G:G)</f>
        <v>2025</v>
      </c>
    </row>
    <row r="291" spans="1:13" x14ac:dyDescent="0.25">
      <c r="A291" s="1" t="s">
        <v>21</v>
      </c>
      <c r="B291" s="1" t="s">
        <v>17</v>
      </c>
      <c r="C291">
        <v>629</v>
      </c>
      <c r="D291">
        <v>9435000</v>
      </c>
      <c r="E291">
        <v>6919000</v>
      </c>
      <c r="F291">
        <v>2516000</v>
      </c>
      <c r="G291" s="2">
        <v>45772</v>
      </c>
      <c r="H291" s="3">
        <f>SUM(D:D)</f>
        <v>10447536600</v>
      </c>
      <c r="I291" s="4">
        <f>SUM(F:F)</f>
        <v>2099369250</v>
      </c>
      <c r="J291" s="4">
        <f>SUM(E:E)</f>
        <v>8348167350</v>
      </c>
      <c r="K291">
        <f>SUM(C:C)</f>
        <v>1017885</v>
      </c>
      <c r="L291">
        <f>MONTH(G:G)</f>
        <v>4</v>
      </c>
      <c r="M291">
        <f>YEAR(G:G)</f>
        <v>2025</v>
      </c>
    </row>
    <row r="292" spans="1:13" x14ac:dyDescent="0.25">
      <c r="A292" s="1" t="s">
        <v>20</v>
      </c>
      <c r="B292" s="1" t="s">
        <v>14</v>
      </c>
      <c r="C292">
        <v>2046</v>
      </c>
      <c r="D292">
        <v>2455200</v>
      </c>
      <c r="E292">
        <v>1636800</v>
      </c>
      <c r="F292">
        <v>818400</v>
      </c>
      <c r="G292" s="2">
        <v>45774</v>
      </c>
      <c r="H292" s="3">
        <f>SUM(D:D)</f>
        <v>10447536600</v>
      </c>
      <c r="I292" s="4">
        <f>SUM(F:F)</f>
        <v>2099369250</v>
      </c>
      <c r="J292" s="4">
        <f>SUM(E:E)</f>
        <v>8348167350</v>
      </c>
      <c r="K292">
        <f>SUM(C:C)</f>
        <v>1017885</v>
      </c>
      <c r="L292">
        <f>MONTH(G:G)</f>
        <v>4</v>
      </c>
      <c r="M292">
        <f>YEAR(G:G)</f>
        <v>2025</v>
      </c>
    </row>
    <row r="293" spans="1:13" x14ac:dyDescent="0.25">
      <c r="A293" s="1" t="s">
        <v>18</v>
      </c>
      <c r="B293" s="1" t="s">
        <v>8</v>
      </c>
      <c r="C293">
        <v>1335</v>
      </c>
      <c r="D293">
        <v>4005000</v>
      </c>
      <c r="E293">
        <v>2403000</v>
      </c>
      <c r="F293">
        <v>1602000</v>
      </c>
      <c r="G293" s="2">
        <v>45773</v>
      </c>
      <c r="H293" s="3">
        <f>SUM(D:D)</f>
        <v>10447536600</v>
      </c>
      <c r="I293" s="4">
        <f>SUM(F:F)</f>
        <v>2099369250</v>
      </c>
      <c r="J293" s="4">
        <f>SUM(E:E)</f>
        <v>8348167350</v>
      </c>
      <c r="K293">
        <f>SUM(C:C)</f>
        <v>1017885</v>
      </c>
      <c r="L293">
        <f>MONTH(G:G)</f>
        <v>4</v>
      </c>
      <c r="M293">
        <f>YEAR(G:G)</f>
        <v>2025</v>
      </c>
    </row>
    <row r="294" spans="1:13" x14ac:dyDescent="0.25">
      <c r="A294" s="1" t="s">
        <v>18</v>
      </c>
      <c r="B294" s="1" t="s">
        <v>10</v>
      </c>
      <c r="C294">
        <v>2230</v>
      </c>
      <c r="D294">
        <v>7805000</v>
      </c>
      <c r="E294">
        <v>5798000</v>
      </c>
      <c r="F294">
        <v>2007000</v>
      </c>
      <c r="G294" s="2">
        <v>45758</v>
      </c>
      <c r="H294" s="3">
        <f>SUM(D:D)</f>
        <v>10447536600</v>
      </c>
      <c r="I294" s="4">
        <f>SUM(F:F)</f>
        <v>2099369250</v>
      </c>
      <c r="J294" s="4">
        <f>SUM(E:E)</f>
        <v>8348167350</v>
      </c>
      <c r="K294">
        <f>SUM(C:C)</f>
        <v>1017885</v>
      </c>
      <c r="L294">
        <f>MONTH(G:G)</f>
        <v>4</v>
      </c>
      <c r="M294">
        <f>YEAR(G:G)</f>
        <v>2025</v>
      </c>
    </row>
    <row r="295" spans="1:13" x14ac:dyDescent="0.25">
      <c r="A295" s="1" t="s">
        <v>21</v>
      </c>
      <c r="B295" s="1" t="s">
        <v>10</v>
      </c>
      <c r="C295">
        <v>1624</v>
      </c>
      <c r="D295">
        <v>5684000</v>
      </c>
      <c r="E295">
        <v>4222400</v>
      </c>
      <c r="F295">
        <v>1461600</v>
      </c>
      <c r="G295" s="2">
        <v>45748</v>
      </c>
      <c r="H295" s="3">
        <f>SUM(D:D)</f>
        <v>10447536600</v>
      </c>
      <c r="I295" s="4">
        <f>SUM(F:F)</f>
        <v>2099369250</v>
      </c>
      <c r="J295" s="4">
        <f>SUM(E:E)</f>
        <v>8348167350</v>
      </c>
      <c r="K295">
        <f>SUM(C:C)</f>
        <v>1017885</v>
      </c>
      <c r="L295">
        <f>MONTH(G:G)</f>
        <v>4</v>
      </c>
      <c r="M295">
        <f>YEAR(G:G)</f>
        <v>2025</v>
      </c>
    </row>
    <row r="296" spans="1:13" x14ac:dyDescent="0.25">
      <c r="A296" s="1" t="s">
        <v>7</v>
      </c>
      <c r="B296" s="1" t="s">
        <v>19</v>
      </c>
      <c r="C296">
        <v>2462</v>
      </c>
      <c r="D296">
        <v>110790000</v>
      </c>
      <c r="E296">
        <v>93556000</v>
      </c>
      <c r="F296">
        <v>17234000</v>
      </c>
      <c r="G296" s="2">
        <v>45774</v>
      </c>
      <c r="H296" s="3">
        <f>SUM(D:D)</f>
        <v>10447536600</v>
      </c>
      <c r="I296" s="4">
        <f>SUM(F:F)</f>
        <v>2099369250</v>
      </c>
      <c r="J296" s="4">
        <f>SUM(E:E)</f>
        <v>8348167350</v>
      </c>
      <c r="K296">
        <f>SUM(C:C)</f>
        <v>1017885</v>
      </c>
      <c r="L296">
        <f>MONTH(G:G)</f>
        <v>4</v>
      </c>
      <c r="M296">
        <f>YEAR(G:G)</f>
        <v>2025</v>
      </c>
    </row>
    <row r="297" spans="1:13" x14ac:dyDescent="0.25">
      <c r="A297" s="1" t="s">
        <v>15</v>
      </c>
      <c r="B297" s="1" t="s">
        <v>8</v>
      </c>
      <c r="C297">
        <v>2621</v>
      </c>
      <c r="D297">
        <v>7863000</v>
      </c>
      <c r="E297">
        <v>4717800</v>
      </c>
      <c r="F297">
        <v>3145200</v>
      </c>
      <c r="G297" s="2">
        <v>45756</v>
      </c>
      <c r="H297" s="3">
        <f>SUM(D:D)</f>
        <v>10447536600</v>
      </c>
      <c r="I297" s="4">
        <f>SUM(F:F)</f>
        <v>2099369250</v>
      </c>
      <c r="J297" s="4">
        <f>SUM(E:E)</f>
        <v>8348167350</v>
      </c>
      <c r="K297">
        <f>SUM(C:C)</f>
        <v>1017885</v>
      </c>
      <c r="L297">
        <f>MONTH(G:G)</f>
        <v>4</v>
      </c>
      <c r="M297">
        <f>YEAR(G:G)</f>
        <v>2025</v>
      </c>
    </row>
    <row r="298" spans="1:13" x14ac:dyDescent="0.25">
      <c r="A298" s="1" t="s">
        <v>16</v>
      </c>
      <c r="B298" s="1" t="s">
        <v>12</v>
      </c>
      <c r="C298">
        <v>2946</v>
      </c>
      <c r="D298">
        <v>3535200</v>
      </c>
      <c r="E298">
        <v>2504100</v>
      </c>
      <c r="F298">
        <v>1031100</v>
      </c>
      <c r="G298" s="2">
        <v>45758</v>
      </c>
      <c r="H298" s="3">
        <f>SUM(D:D)</f>
        <v>10447536600</v>
      </c>
      <c r="I298" s="4">
        <f>SUM(F:F)</f>
        <v>2099369250</v>
      </c>
      <c r="J298" s="4">
        <f>SUM(E:E)</f>
        <v>8348167350</v>
      </c>
      <c r="K298">
        <f>SUM(C:C)</f>
        <v>1017885</v>
      </c>
      <c r="L298">
        <f>MONTH(G:G)</f>
        <v>4</v>
      </c>
      <c r="M298">
        <f>YEAR(G:G)</f>
        <v>2025</v>
      </c>
    </row>
    <row r="299" spans="1:13" x14ac:dyDescent="0.25">
      <c r="A299" s="1" t="s">
        <v>16</v>
      </c>
      <c r="B299" s="1" t="s">
        <v>12</v>
      </c>
      <c r="C299">
        <v>398</v>
      </c>
      <c r="D299">
        <v>477600</v>
      </c>
      <c r="E299">
        <v>338300</v>
      </c>
      <c r="F299">
        <v>139300</v>
      </c>
      <c r="G299" s="2">
        <v>45754</v>
      </c>
      <c r="H299" s="3">
        <f>SUM(D:D)</f>
        <v>10447536600</v>
      </c>
      <c r="I299" s="4">
        <f>SUM(F:F)</f>
        <v>2099369250</v>
      </c>
      <c r="J299" s="4">
        <f>SUM(E:E)</f>
        <v>8348167350</v>
      </c>
      <c r="K299">
        <f>SUM(C:C)</f>
        <v>1017885</v>
      </c>
      <c r="L299">
        <f>MONTH(G:G)</f>
        <v>4</v>
      </c>
      <c r="M299">
        <f>YEAR(G:G)</f>
        <v>2025</v>
      </c>
    </row>
    <row r="300" spans="1:13" x14ac:dyDescent="0.25">
      <c r="A300" s="1" t="s">
        <v>11</v>
      </c>
      <c r="B300" s="1" t="s">
        <v>19</v>
      </c>
      <c r="C300">
        <v>985</v>
      </c>
      <c r="D300">
        <v>44325000</v>
      </c>
      <c r="E300">
        <v>37430000</v>
      </c>
      <c r="F300">
        <v>6895000</v>
      </c>
      <c r="G300" s="2">
        <v>45754</v>
      </c>
      <c r="H300" s="3">
        <f>SUM(D:D)</f>
        <v>10447536600</v>
      </c>
      <c r="I300" s="4">
        <f>SUM(F:F)</f>
        <v>2099369250</v>
      </c>
      <c r="J300" s="4">
        <f>SUM(E:E)</f>
        <v>8348167350</v>
      </c>
      <c r="K300">
        <f>SUM(C:C)</f>
        <v>1017885</v>
      </c>
      <c r="L300">
        <f>MONTH(G:G)</f>
        <v>4</v>
      </c>
      <c r="M300">
        <f>YEAR(G:G)</f>
        <v>2025</v>
      </c>
    </row>
    <row r="301" spans="1:13" x14ac:dyDescent="0.25">
      <c r="A301" s="1" t="s">
        <v>16</v>
      </c>
      <c r="B301" s="1" t="s">
        <v>14</v>
      </c>
      <c r="C301">
        <v>2322</v>
      </c>
      <c r="D301">
        <v>2786400</v>
      </c>
      <c r="E301">
        <v>1857600</v>
      </c>
      <c r="F301">
        <v>928800</v>
      </c>
      <c r="G301" s="2">
        <v>45752</v>
      </c>
      <c r="H301" s="3">
        <f>SUM(D:D)</f>
        <v>10447536600</v>
      </c>
      <c r="I301" s="4">
        <f>SUM(F:F)</f>
        <v>2099369250</v>
      </c>
      <c r="J301" s="4">
        <f>SUM(E:E)</f>
        <v>8348167350</v>
      </c>
      <c r="K301">
        <f>SUM(C:C)</f>
        <v>1017885</v>
      </c>
      <c r="L301">
        <f>MONTH(G:G)</f>
        <v>4</v>
      </c>
      <c r="M301">
        <f>YEAR(G:G)</f>
        <v>2025</v>
      </c>
    </row>
    <row r="302" spans="1:13" x14ac:dyDescent="0.25">
      <c r="A302" s="1" t="s">
        <v>16</v>
      </c>
      <c r="B302" s="1" t="s">
        <v>8</v>
      </c>
      <c r="C302">
        <v>1945</v>
      </c>
      <c r="D302">
        <v>5835000</v>
      </c>
      <c r="E302">
        <v>3501000</v>
      </c>
      <c r="F302">
        <v>2334000</v>
      </c>
      <c r="G302" s="2">
        <v>45764</v>
      </c>
      <c r="H302" s="3">
        <f>SUM(D:D)</f>
        <v>10447536600</v>
      </c>
      <c r="I302" s="4">
        <f>SUM(F:F)</f>
        <v>2099369250</v>
      </c>
      <c r="J302" s="4">
        <f>SUM(E:E)</f>
        <v>8348167350</v>
      </c>
      <c r="K302">
        <f>SUM(C:C)</f>
        <v>1017885</v>
      </c>
      <c r="L302">
        <f>MONTH(G:G)</f>
        <v>4</v>
      </c>
      <c r="M302">
        <f>YEAR(G:G)</f>
        <v>2025</v>
      </c>
    </row>
    <row r="303" spans="1:13" x14ac:dyDescent="0.25">
      <c r="A303" s="1" t="s">
        <v>11</v>
      </c>
      <c r="B303" s="1" t="s">
        <v>10</v>
      </c>
      <c r="C303">
        <v>453</v>
      </c>
      <c r="D303">
        <v>1585500</v>
      </c>
      <c r="E303">
        <v>1177800</v>
      </c>
      <c r="F303">
        <v>407700</v>
      </c>
      <c r="G303" s="2">
        <v>45772</v>
      </c>
      <c r="H303" s="3">
        <f>SUM(D:D)</f>
        <v>10447536600</v>
      </c>
      <c r="I303" s="4">
        <f>SUM(F:F)</f>
        <v>2099369250</v>
      </c>
      <c r="J303" s="4">
        <f>SUM(E:E)</f>
        <v>8348167350</v>
      </c>
      <c r="K303">
        <f>SUM(C:C)</f>
        <v>1017885</v>
      </c>
      <c r="L303">
        <f>MONTH(G:G)</f>
        <v>4</v>
      </c>
      <c r="M303">
        <f>YEAR(G:G)</f>
        <v>2025</v>
      </c>
    </row>
    <row r="304" spans="1:13" x14ac:dyDescent="0.25">
      <c r="A304" s="1" t="s">
        <v>9</v>
      </c>
      <c r="B304" s="1" t="s">
        <v>19</v>
      </c>
      <c r="C304">
        <v>2829</v>
      </c>
      <c r="D304">
        <v>127305000</v>
      </c>
      <c r="E304">
        <v>107502000</v>
      </c>
      <c r="F304">
        <v>19803000</v>
      </c>
      <c r="G304" s="2">
        <v>45767</v>
      </c>
      <c r="H304" s="3">
        <f>SUM(D:D)</f>
        <v>10447536600</v>
      </c>
      <c r="I304" s="4">
        <f>SUM(F:F)</f>
        <v>2099369250</v>
      </c>
      <c r="J304" s="4">
        <f>SUM(E:E)</f>
        <v>8348167350</v>
      </c>
      <c r="K304">
        <f>SUM(C:C)</f>
        <v>1017885</v>
      </c>
      <c r="L304">
        <f>MONTH(G:G)</f>
        <v>4</v>
      </c>
      <c r="M304">
        <f>YEAR(G:G)</f>
        <v>2025</v>
      </c>
    </row>
    <row r="305" spans="1:13" x14ac:dyDescent="0.25">
      <c r="A305" s="1" t="s">
        <v>15</v>
      </c>
      <c r="B305" s="1" t="s">
        <v>14</v>
      </c>
      <c r="C305">
        <v>2720</v>
      </c>
      <c r="D305">
        <v>3264000</v>
      </c>
      <c r="E305">
        <v>2176000</v>
      </c>
      <c r="F305">
        <v>1088000</v>
      </c>
      <c r="G305" s="2">
        <v>45780</v>
      </c>
      <c r="H305" s="3">
        <f>SUM(D:D)</f>
        <v>10447536600</v>
      </c>
      <c r="I305" s="4">
        <f>SUM(F:F)</f>
        <v>2099369250</v>
      </c>
      <c r="J305" s="4">
        <f>SUM(E:E)</f>
        <v>8348167350</v>
      </c>
      <c r="K305">
        <f>SUM(C:C)</f>
        <v>1017885</v>
      </c>
      <c r="L305">
        <f>MONTH(G:G)</f>
        <v>5</v>
      </c>
      <c r="M305">
        <f>YEAR(G:G)</f>
        <v>2025</v>
      </c>
    </row>
    <row r="306" spans="1:13" x14ac:dyDescent="0.25">
      <c r="A306" s="1" t="s">
        <v>22</v>
      </c>
      <c r="B306" s="1" t="s">
        <v>19</v>
      </c>
      <c r="C306">
        <v>807</v>
      </c>
      <c r="D306">
        <v>36315000</v>
      </c>
      <c r="E306">
        <v>30666000</v>
      </c>
      <c r="F306">
        <v>5649000</v>
      </c>
      <c r="G306" s="2">
        <v>45785</v>
      </c>
      <c r="H306" s="3">
        <f>SUM(D:D)</f>
        <v>10447536600</v>
      </c>
      <c r="I306" s="4">
        <f>SUM(F:F)</f>
        <v>2099369250</v>
      </c>
      <c r="J306" s="4">
        <f>SUM(E:E)</f>
        <v>8348167350</v>
      </c>
      <c r="K306">
        <f>SUM(C:C)</f>
        <v>1017885</v>
      </c>
      <c r="L306">
        <f>MONTH(G:G)</f>
        <v>5</v>
      </c>
      <c r="M306">
        <f>YEAR(G:G)</f>
        <v>2025</v>
      </c>
    </row>
    <row r="307" spans="1:13" x14ac:dyDescent="0.25">
      <c r="A307" s="1" t="s">
        <v>20</v>
      </c>
      <c r="B307" s="1" t="s">
        <v>17</v>
      </c>
      <c r="C307">
        <v>1570</v>
      </c>
      <c r="D307">
        <v>23550000</v>
      </c>
      <c r="E307">
        <v>17270000</v>
      </c>
      <c r="F307">
        <v>6280000</v>
      </c>
      <c r="G307" s="2">
        <v>45789</v>
      </c>
      <c r="H307" s="3">
        <f>SUM(D:D)</f>
        <v>10447536600</v>
      </c>
      <c r="I307" s="4">
        <f>SUM(F:F)</f>
        <v>2099369250</v>
      </c>
      <c r="J307" s="4">
        <f>SUM(E:E)</f>
        <v>8348167350</v>
      </c>
      <c r="K307">
        <f>SUM(C:C)</f>
        <v>1017885</v>
      </c>
      <c r="L307">
        <f>MONTH(G:G)</f>
        <v>5</v>
      </c>
      <c r="M307">
        <f>YEAR(G:G)</f>
        <v>2025</v>
      </c>
    </row>
    <row r="308" spans="1:13" x14ac:dyDescent="0.25">
      <c r="A308" s="1" t="s">
        <v>11</v>
      </c>
      <c r="B308" s="1" t="s">
        <v>17</v>
      </c>
      <c r="C308">
        <v>1867</v>
      </c>
      <c r="D308">
        <v>28005000</v>
      </c>
      <c r="E308">
        <v>20537000</v>
      </c>
      <c r="F308">
        <v>7468000</v>
      </c>
      <c r="G308" s="2">
        <v>45785</v>
      </c>
      <c r="H308" s="3">
        <f>SUM(D:D)</f>
        <v>10447536600</v>
      </c>
      <c r="I308" s="4">
        <f>SUM(F:F)</f>
        <v>2099369250</v>
      </c>
      <c r="J308" s="4">
        <f>SUM(E:E)</f>
        <v>8348167350</v>
      </c>
      <c r="K308">
        <f>SUM(C:C)</f>
        <v>1017885</v>
      </c>
      <c r="L308">
        <f>MONTH(G:G)</f>
        <v>5</v>
      </c>
      <c r="M308">
        <f>YEAR(G:G)</f>
        <v>2025</v>
      </c>
    </row>
    <row r="309" spans="1:13" x14ac:dyDescent="0.25">
      <c r="A309" s="1" t="s">
        <v>7</v>
      </c>
      <c r="B309" s="1" t="s">
        <v>19</v>
      </c>
      <c r="C309">
        <v>746</v>
      </c>
      <c r="D309">
        <v>33570000</v>
      </c>
      <c r="E309">
        <v>28348000</v>
      </c>
      <c r="F309">
        <v>5222000</v>
      </c>
      <c r="G309" s="2">
        <v>45800</v>
      </c>
      <c r="H309" s="3">
        <f>SUM(D:D)</f>
        <v>10447536600</v>
      </c>
      <c r="I309" s="4">
        <f>SUM(F:F)</f>
        <v>2099369250</v>
      </c>
      <c r="J309" s="4">
        <f>SUM(E:E)</f>
        <v>8348167350</v>
      </c>
      <c r="K309">
        <f>SUM(C:C)</f>
        <v>1017885</v>
      </c>
      <c r="L309">
        <f>MONTH(G:G)</f>
        <v>5</v>
      </c>
      <c r="M309">
        <f>YEAR(G:G)</f>
        <v>2025</v>
      </c>
    </row>
    <row r="310" spans="1:13" x14ac:dyDescent="0.25">
      <c r="A310" s="1" t="s">
        <v>9</v>
      </c>
      <c r="B310" s="1" t="s">
        <v>14</v>
      </c>
      <c r="C310">
        <v>2091</v>
      </c>
      <c r="D310">
        <v>2509200</v>
      </c>
      <c r="E310">
        <v>1672800</v>
      </c>
      <c r="F310">
        <v>836400</v>
      </c>
      <c r="G310" s="2">
        <v>45808</v>
      </c>
      <c r="H310" s="3">
        <f>SUM(D:D)</f>
        <v>10447536600</v>
      </c>
      <c r="I310" s="4">
        <f>SUM(F:F)</f>
        <v>2099369250</v>
      </c>
      <c r="J310" s="4">
        <f>SUM(E:E)</f>
        <v>8348167350</v>
      </c>
      <c r="K310">
        <f>SUM(C:C)</f>
        <v>1017885</v>
      </c>
      <c r="L310">
        <f>MONTH(G:G)</f>
        <v>5</v>
      </c>
      <c r="M310">
        <f>YEAR(G:G)</f>
        <v>2025</v>
      </c>
    </row>
    <row r="311" spans="1:13" x14ac:dyDescent="0.25">
      <c r="A311" s="1" t="s">
        <v>9</v>
      </c>
      <c r="B311" s="1" t="s">
        <v>17</v>
      </c>
      <c r="C311">
        <v>2786</v>
      </c>
      <c r="D311">
        <v>41790000</v>
      </c>
      <c r="E311">
        <v>30646000</v>
      </c>
      <c r="F311">
        <v>11144000</v>
      </c>
      <c r="G311" s="2">
        <v>45806</v>
      </c>
      <c r="H311" s="3">
        <f>SUM(D:D)</f>
        <v>10447536600</v>
      </c>
      <c r="I311" s="4">
        <f>SUM(F:F)</f>
        <v>2099369250</v>
      </c>
      <c r="J311" s="4">
        <f>SUM(E:E)</f>
        <v>8348167350</v>
      </c>
      <c r="K311">
        <f>SUM(C:C)</f>
        <v>1017885</v>
      </c>
      <c r="L311">
        <f>MONTH(G:G)</f>
        <v>5</v>
      </c>
      <c r="M311">
        <f>YEAR(G:G)</f>
        <v>2025</v>
      </c>
    </row>
    <row r="312" spans="1:13" x14ac:dyDescent="0.25">
      <c r="A312" s="1" t="s">
        <v>22</v>
      </c>
      <c r="B312" s="1" t="s">
        <v>10</v>
      </c>
      <c r="C312">
        <v>2426</v>
      </c>
      <c r="D312">
        <v>8491000</v>
      </c>
      <c r="E312">
        <v>6307600</v>
      </c>
      <c r="F312">
        <v>2183400</v>
      </c>
      <c r="G312" s="2">
        <v>45800</v>
      </c>
      <c r="H312" s="3">
        <f>SUM(D:D)</f>
        <v>10447536600</v>
      </c>
      <c r="I312" s="4">
        <f>SUM(F:F)</f>
        <v>2099369250</v>
      </c>
      <c r="J312" s="4">
        <f>SUM(E:E)</f>
        <v>8348167350</v>
      </c>
      <c r="K312">
        <f>SUM(C:C)</f>
        <v>1017885</v>
      </c>
      <c r="L312">
        <f>MONTH(G:G)</f>
        <v>5</v>
      </c>
      <c r="M312">
        <f>YEAR(G:G)</f>
        <v>2025</v>
      </c>
    </row>
    <row r="313" spans="1:13" x14ac:dyDescent="0.25">
      <c r="A313" s="1" t="s">
        <v>21</v>
      </c>
      <c r="B313" s="1" t="s">
        <v>12</v>
      </c>
      <c r="C313">
        <v>1610</v>
      </c>
      <c r="D313">
        <v>1932000</v>
      </c>
      <c r="E313">
        <v>1368500</v>
      </c>
      <c r="F313">
        <v>563500</v>
      </c>
      <c r="G313" s="2">
        <v>45781</v>
      </c>
      <c r="H313" s="3">
        <f>SUM(D:D)</f>
        <v>10447536600</v>
      </c>
      <c r="I313" s="4">
        <f>SUM(F:F)</f>
        <v>2099369250</v>
      </c>
      <c r="J313" s="4">
        <f>SUM(E:E)</f>
        <v>8348167350</v>
      </c>
      <c r="K313">
        <f>SUM(C:C)</f>
        <v>1017885</v>
      </c>
      <c r="L313">
        <f>MONTH(G:G)</f>
        <v>5</v>
      </c>
      <c r="M313">
        <f>YEAR(G:G)</f>
        <v>2025</v>
      </c>
    </row>
    <row r="314" spans="1:13" x14ac:dyDescent="0.25">
      <c r="A314" s="1" t="s">
        <v>15</v>
      </c>
      <c r="B314" s="1" t="s">
        <v>17</v>
      </c>
      <c r="C314">
        <v>1306</v>
      </c>
      <c r="D314">
        <v>19590000</v>
      </c>
      <c r="E314">
        <v>14366000</v>
      </c>
      <c r="F314">
        <v>5224000</v>
      </c>
      <c r="G314" s="2">
        <v>45801</v>
      </c>
      <c r="H314" s="3">
        <f>SUM(D:D)</f>
        <v>10447536600</v>
      </c>
      <c r="I314" s="4">
        <f>SUM(F:F)</f>
        <v>2099369250</v>
      </c>
      <c r="J314" s="4">
        <f>SUM(E:E)</f>
        <v>8348167350</v>
      </c>
      <c r="K314">
        <f>SUM(C:C)</f>
        <v>1017885</v>
      </c>
      <c r="L314">
        <f>MONTH(G:G)</f>
        <v>5</v>
      </c>
      <c r="M314">
        <f>YEAR(G:G)</f>
        <v>2025</v>
      </c>
    </row>
    <row r="315" spans="1:13" x14ac:dyDescent="0.25">
      <c r="A315" s="1" t="s">
        <v>11</v>
      </c>
      <c r="B315" s="1" t="s">
        <v>8</v>
      </c>
      <c r="C315">
        <v>533</v>
      </c>
      <c r="D315">
        <v>1599000</v>
      </c>
      <c r="E315">
        <v>959400</v>
      </c>
      <c r="F315">
        <v>639600</v>
      </c>
      <c r="G315" s="2">
        <v>45784</v>
      </c>
      <c r="H315" s="3">
        <f>SUM(D:D)</f>
        <v>10447536600</v>
      </c>
      <c r="I315" s="4">
        <f>SUM(F:F)</f>
        <v>2099369250</v>
      </c>
      <c r="J315" s="4">
        <f>SUM(E:E)</f>
        <v>8348167350</v>
      </c>
      <c r="K315">
        <f>SUM(C:C)</f>
        <v>1017885</v>
      </c>
      <c r="L315">
        <f>MONTH(G:G)</f>
        <v>5</v>
      </c>
      <c r="M315">
        <f>YEAR(G:G)</f>
        <v>2025</v>
      </c>
    </row>
    <row r="316" spans="1:13" x14ac:dyDescent="0.25">
      <c r="A316" s="1" t="s">
        <v>15</v>
      </c>
      <c r="B316" s="1" t="s">
        <v>10</v>
      </c>
      <c r="C316">
        <v>2498</v>
      </c>
      <c r="D316">
        <v>8743000</v>
      </c>
      <c r="E316">
        <v>6494800</v>
      </c>
      <c r="F316">
        <v>2248200</v>
      </c>
      <c r="G316" s="2">
        <v>45788</v>
      </c>
      <c r="H316" s="3">
        <f>SUM(D:D)</f>
        <v>10447536600</v>
      </c>
      <c r="I316" s="4">
        <f>SUM(F:F)</f>
        <v>2099369250</v>
      </c>
      <c r="J316" s="4">
        <f>SUM(E:E)</f>
        <v>8348167350</v>
      </c>
      <c r="K316">
        <f>SUM(C:C)</f>
        <v>1017885</v>
      </c>
      <c r="L316">
        <f>MONTH(G:G)</f>
        <v>5</v>
      </c>
      <c r="M316">
        <f>YEAR(G:G)</f>
        <v>2025</v>
      </c>
    </row>
    <row r="317" spans="1:13" x14ac:dyDescent="0.25">
      <c r="A317" s="1" t="s">
        <v>22</v>
      </c>
      <c r="B317" s="1" t="s">
        <v>8</v>
      </c>
      <c r="C317">
        <v>753</v>
      </c>
      <c r="D317">
        <v>2259000</v>
      </c>
      <c r="E317">
        <v>1355400</v>
      </c>
      <c r="F317">
        <v>903600</v>
      </c>
      <c r="G317" s="2">
        <v>45801</v>
      </c>
      <c r="H317" s="3">
        <f>SUM(D:D)</f>
        <v>10447536600</v>
      </c>
      <c r="I317" s="4">
        <f>SUM(F:F)</f>
        <v>2099369250</v>
      </c>
      <c r="J317" s="4">
        <f>SUM(E:E)</f>
        <v>8348167350</v>
      </c>
      <c r="K317">
        <f>SUM(C:C)</f>
        <v>1017885</v>
      </c>
      <c r="L317">
        <f>MONTH(G:G)</f>
        <v>5</v>
      </c>
      <c r="M317">
        <f>YEAR(G:G)</f>
        <v>2025</v>
      </c>
    </row>
    <row r="318" spans="1:13" x14ac:dyDescent="0.25">
      <c r="A318" s="1" t="s">
        <v>21</v>
      </c>
      <c r="B318" s="1" t="s">
        <v>17</v>
      </c>
      <c r="C318">
        <v>2589</v>
      </c>
      <c r="D318">
        <v>38835000</v>
      </c>
      <c r="E318">
        <v>28479000</v>
      </c>
      <c r="F318">
        <v>10356000</v>
      </c>
      <c r="G318" s="2">
        <v>45790</v>
      </c>
      <c r="H318" s="3">
        <f>SUM(D:D)</f>
        <v>10447536600</v>
      </c>
      <c r="I318" s="4">
        <f>SUM(F:F)</f>
        <v>2099369250</v>
      </c>
      <c r="J318" s="4">
        <f>SUM(E:E)</f>
        <v>8348167350</v>
      </c>
      <c r="K318">
        <f>SUM(C:C)</f>
        <v>1017885</v>
      </c>
      <c r="L318">
        <f>MONTH(G:G)</f>
        <v>5</v>
      </c>
      <c r="M318">
        <f>YEAR(G:G)</f>
        <v>2025</v>
      </c>
    </row>
    <row r="319" spans="1:13" x14ac:dyDescent="0.25">
      <c r="A319" s="1" t="s">
        <v>15</v>
      </c>
      <c r="B319" s="1" t="s">
        <v>23</v>
      </c>
      <c r="C319">
        <v>1137</v>
      </c>
      <c r="D319">
        <v>5685000</v>
      </c>
      <c r="E319">
        <v>4775400</v>
      </c>
      <c r="F319">
        <v>909600</v>
      </c>
      <c r="G319" s="2">
        <v>45779</v>
      </c>
      <c r="H319" s="3">
        <f>SUM(D:D)</f>
        <v>10447536600</v>
      </c>
      <c r="I319" s="4">
        <f>SUM(F:F)</f>
        <v>2099369250</v>
      </c>
      <c r="J319" s="4">
        <f>SUM(E:E)</f>
        <v>8348167350</v>
      </c>
      <c r="K319">
        <f>SUM(C:C)</f>
        <v>1017885</v>
      </c>
      <c r="L319">
        <f>MONTH(G:G)</f>
        <v>5</v>
      </c>
      <c r="M319">
        <f>YEAR(G:G)</f>
        <v>2025</v>
      </c>
    </row>
    <row r="320" spans="1:13" x14ac:dyDescent="0.25">
      <c r="A320" s="1" t="s">
        <v>21</v>
      </c>
      <c r="B320" s="1" t="s">
        <v>10</v>
      </c>
      <c r="C320">
        <v>2108</v>
      </c>
      <c r="D320">
        <v>7378000</v>
      </c>
      <c r="E320">
        <v>5480800</v>
      </c>
      <c r="F320">
        <v>1897200</v>
      </c>
      <c r="G320" s="2">
        <v>45788</v>
      </c>
      <c r="H320" s="3">
        <f>SUM(D:D)</f>
        <v>10447536600</v>
      </c>
      <c r="I320" s="4">
        <f>SUM(F:F)</f>
        <v>2099369250</v>
      </c>
      <c r="J320" s="4">
        <f>SUM(E:E)</f>
        <v>8348167350</v>
      </c>
      <c r="K320">
        <f>SUM(C:C)</f>
        <v>1017885</v>
      </c>
      <c r="L320">
        <f>MONTH(G:G)</f>
        <v>5</v>
      </c>
      <c r="M320">
        <f>YEAR(G:G)</f>
        <v>2025</v>
      </c>
    </row>
    <row r="321" spans="1:13" x14ac:dyDescent="0.25">
      <c r="A321" s="1" t="s">
        <v>15</v>
      </c>
      <c r="B321" s="1" t="s">
        <v>8</v>
      </c>
      <c r="C321">
        <v>2686</v>
      </c>
      <c r="D321">
        <v>8058000</v>
      </c>
      <c r="E321">
        <v>4834800</v>
      </c>
      <c r="F321">
        <v>3223200</v>
      </c>
      <c r="G321" s="2">
        <v>45806</v>
      </c>
      <c r="H321" s="3">
        <f>SUM(D:D)</f>
        <v>10447536600</v>
      </c>
      <c r="I321" s="4">
        <f>SUM(F:F)</f>
        <v>2099369250</v>
      </c>
      <c r="J321" s="4">
        <f>SUM(E:E)</f>
        <v>8348167350</v>
      </c>
      <c r="K321">
        <f>SUM(C:C)</f>
        <v>1017885</v>
      </c>
      <c r="L321">
        <f>MONTH(G:G)</f>
        <v>5</v>
      </c>
      <c r="M321">
        <f>YEAR(G:G)</f>
        <v>2025</v>
      </c>
    </row>
    <row r="322" spans="1:13" x14ac:dyDescent="0.25">
      <c r="A322" s="1" t="s">
        <v>13</v>
      </c>
      <c r="B322" s="1" t="s">
        <v>17</v>
      </c>
      <c r="C322">
        <v>936</v>
      </c>
      <c r="D322">
        <v>14040000</v>
      </c>
      <c r="E322">
        <v>10296000</v>
      </c>
      <c r="F322">
        <v>3744000</v>
      </c>
      <c r="G322" s="2">
        <v>45806</v>
      </c>
      <c r="H322" s="3">
        <f>SUM(D:D)</f>
        <v>10447536600</v>
      </c>
      <c r="I322" s="4">
        <f>SUM(F:F)</f>
        <v>2099369250</v>
      </c>
      <c r="J322" s="4">
        <f>SUM(E:E)</f>
        <v>8348167350</v>
      </c>
      <c r="K322">
        <f>SUM(C:C)</f>
        <v>1017885</v>
      </c>
      <c r="L322">
        <f>MONTH(G:G)</f>
        <v>5</v>
      </c>
      <c r="M322">
        <f>YEAR(G:G)</f>
        <v>2025</v>
      </c>
    </row>
    <row r="323" spans="1:13" x14ac:dyDescent="0.25">
      <c r="A323" s="1" t="s">
        <v>13</v>
      </c>
      <c r="B323" s="1" t="s">
        <v>10</v>
      </c>
      <c r="C323">
        <v>1489</v>
      </c>
      <c r="D323">
        <v>5211500</v>
      </c>
      <c r="E323">
        <v>3871400</v>
      </c>
      <c r="F323">
        <v>1340100</v>
      </c>
      <c r="G323" s="2">
        <v>45791</v>
      </c>
      <c r="H323" s="3">
        <f>SUM(D:D)</f>
        <v>10447536600</v>
      </c>
      <c r="I323" s="4">
        <f>SUM(F:F)</f>
        <v>2099369250</v>
      </c>
      <c r="J323" s="4">
        <f>SUM(E:E)</f>
        <v>8348167350</v>
      </c>
      <c r="K323">
        <f>SUM(C:C)</f>
        <v>1017885</v>
      </c>
      <c r="L323">
        <f>MONTH(G:G)</f>
        <v>5</v>
      </c>
      <c r="M323">
        <f>YEAR(G:G)</f>
        <v>2025</v>
      </c>
    </row>
    <row r="324" spans="1:13" x14ac:dyDescent="0.25">
      <c r="A324" s="1" t="s">
        <v>7</v>
      </c>
      <c r="B324" s="1" t="s">
        <v>10</v>
      </c>
      <c r="C324">
        <v>2406</v>
      </c>
      <c r="D324">
        <v>8421000</v>
      </c>
      <c r="E324">
        <v>6255600</v>
      </c>
      <c r="F324">
        <v>2165400</v>
      </c>
      <c r="G324" s="2">
        <v>45807</v>
      </c>
      <c r="H324" s="3">
        <f>SUM(D:D)</f>
        <v>10447536600</v>
      </c>
      <c r="I324" s="4">
        <f>SUM(F:F)</f>
        <v>2099369250</v>
      </c>
      <c r="J324" s="4">
        <f>SUM(E:E)</f>
        <v>8348167350</v>
      </c>
      <c r="K324">
        <f>SUM(C:C)</f>
        <v>1017885</v>
      </c>
      <c r="L324">
        <f>MONTH(G:G)</f>
        <v>5</v>
      </c>
      <c r="M324">
        <f>YEAR(G:G)</f>
        <v>2025</v>
      </c>
    </row>
    <row r="325" spans="1:13" x14ac:dyDescent="0.25">
      <c r="A325" s="1" t="s">
        <v>15</v>
      </c>
      <c r="B325" s="1" t="s">
        <v>17</v>
      </c>
      <c r="C325">
        <v>711</v>
      </c>
      <c r="D325">
        <v>10665000</v>
      </c>
      <c r="E325">
        <v>7821000</v>
      </c>
      <c r="F325">
        <v>2844000</v>
      </c>
      <c r="G325" s="2">
        <v>45791</v>
      </c>
      <c r="H325" s="3">
        <f>SUM(D:D)</f>
        <v>10447536600</v>
      </c>
      <c r="I325" s="4">
        <f>SUM(F:F)</f>
        <v>2099369250</v>
      </c>
      <c r="J325" s="4">
        <f>SUM(E:E)</f>
        <v>8348167350</v>
      </c>
      <c r="K325">
        <f>SUM(C:C)</f>
        <v>1017885</v>
      </c>
      <c r="L325">
        <f>MONTH(G:G)</f>
        <v>5</v>
      </c>
      <c r="M325">
        <f>YEAR(G:G)</f>
        <v>2025</v>
      </c>
    </row>
    <row r="326" spans="1:13" x14ac:dyDescent="0.25">
      <c r="A326" s="1" t="s">
        <v>15</v>
      </c>
      <c r="B326" s="1" t="s">
        <v>19</v>
      </c>
      <c r="C326">
        <v>804</v>
      </c>
      <c r="D326">
        <v>36180000</v>
      </c>
      <c r="E326">
        <v>30552000</v>
      </c>
      <c r="F326">
        <v>5628000</v>
      </c>
      <c r="G326" s="2">
        <v>45791</v>
      </c>
      <c r="H326" s="3">
        <f>SUM(D:D)</f>
        <v>10447536600</v>
      </c>
      <c r="I326" s="4">
        <f>SUM(F:F)</f>
        <v>2099369250</v>
      </c>
      <c r="J326" s="4">
        <f>SUM(E:E)</f>
        <v>8348167350</v>
      </c>
      <c r="K326">
        <f>SUM(C:C)</f>
        <v>1017885</v>
      </c>
      <c r="L326">
        <f>MONTH(G:G)</f>
        <v>5</v>
      </c>
      <c r="M326">
        <f>YEAR(G:G)</f>
        <v>2025</v>
      </c>
    </row>
    <row r="327" spans="1:13" x14ac:dyDescent="0.25">
      <c r="A327" s="1" t="s">
        <v>21</v>
      </c>
      <c r="B327" s="1" t="s">
        <v>10</v>
      </c>
      <c r="C327">
        <v>2941</v>
      </c>
      <c r="D327">
        <v>10293500</v>
      </c>
      <c r="E327">
        <v>7646600</v>
      </c>
      <c r="F327">
        <v>2646900</v>
      </c>
      <c r="G327" s="2">
        <v>45783</v>
      </c>
      <c r="H327" s="3">
        <f>SUM(D:D)</f>
        <v>10447536600</v>
      </c>
      <c r="I327" s="4">
        <f>SUM(F:F)</f>
        <v>2099369250</v>
      </c>
      <c r="J327" s="4">
        <f>SUM(E:E)</f>
        <v>8348167350</v>
      </c>
      <c r="K327">
        <f>SUM(C:C)</f>
        <v>1017885</v>
      </c>
      <c r="L327">
        <f>MONTH(G:G)</f>
        <v>5</v>
      </c>
      <c r="M327">
        <f>YEAR(G:G)</f>
        <v>2025</v>
      </c>
    </row>
    <row r="328" spans="1:13" x14ac:dyDescent="0.25">
      <c r="A328" s="1" t="s">
        <v>7</v>
      </c>
      <c r="B328" s="1" t="s">
        <v>8</v>
      </c>
      <c r="C328">
        <v>2402</v>
      </c>
      <c r="D328">
        <v>7206000</v>
      </c>
      <c r="E328">
        <v>4323600</v>
      </c>
      <c r="F328">
        <v>2882400</v>
      </c>
      <c r="G328" s="2">
        <v>45781</v>
      </c>
      <c r="H328" s="3">
        <f>SUM(D:D)</f>
        <v>10447536600</v>
      </c>
      <c r="I328" s="4">
        <f>SUM(F:F)</f>
        <v>2099369250</v>
      </c>
      <c r="J328" s="4">
        <f>SUM(E:E)</f>
        <v>8348167350</v>
      </c>
      <c r="K328">
        <f>SUM(C:C)</f>
        <v>1017885</v>
      </c>
      <c r="L328">
        <f>MONTH(G:G)</f>
        <v>5</v>
      </c>
      <c r="M328">
        <f>YEAR(G:G)</f>
        <v>2025</v>
      </c>
    </row>
    <row r="329" spans="1:13" x14ac:dyDescent="0.25">
      <c r="A329" s="1" t="s">
        <v>16</v>
      </c>
      <c r="B329" s="1" t="s">
        <v>14</v>
      </c>
      <c r="C329">
        <v>2902</v>
      </c>
      <c r="D329">
        <v>3482400</v>
      </c>
      <c r="E329">
        <v>2321600</v>
      </c>
      <c r="F329">
        <v>1160800</v>
      </c>
      <c r="G329" s="2">
        <v>45812</v>
      </c>
      <c r="H329" s="3">
        <f>SUM(D:D)</f>
        <v>10447536600</v>
      </c>
      <c r="I329" s="4">
        <f>SUM(F:F)</f>
        <v>2099369250</v>
      </c>
      <c r="J329" s="4">
        <f>SUM(E:E)</f>
        <v>8348167350</v>
      </c>
      <c r="K329">
        <f>SUM(C:C)</f>
        <v>1017885</v>
      </c>
      <c r="L329">
        <f>MONTH(G:G)</f>
        <v>6</v>
      </c>
      <c r="M329">
        <f>YEAR(G:G)</f>
        <v>2025</v>
      </c>
    </row>
    <row r="330" spans="1:13" x14ac:dyDescent="0.25">
      <c r="A330" s="1" t="s">
        <v>15</v>
      </c>
      <c r="B330" s="1" t="s">
        <v>8</v>
      </c>
      <c r="C330">
        <v>1181</v>
      </c>
      <c r="D330">
        <v>3543000</v>
      </c>
      <c r="E330">
        <v>2125800</v>
      </c>
      <c r="F330">
        <v>1417200</v>
      </c>
      <c r="G330" s="2">
        <v>45822</v>
      </c>
      <c r="H330" s="3">
        <f>SUM(D:D)</f>
        <v>10447536600</v>
      </c>
      <c r="I330" s="4">
        <f>SUM(F:F)</f>
        <v>2099369250</v>
      </c>
      <c r="J330" s="4">
        <f>SUM(E:E)</f>
        <v>8348167350</v>
      </c>
      <c r="K330">
        <f>SUM(C:C)</f>
        <v>1017885</v>
      </c>
      <c r="L330">
        <f>MONTH(G:G)</f>
        <v>6</v>
      </c>
      <c r="M330">
        <f>YEAR(G:G)</f>
        <v>2025</v>
      </c>
    </row>
    <row r="331" spans="1:13" x14ac:dyDescent="0.25">
      <c r="A331" s="1" t="s">
        <v>21</v>
      </c>
      <c r="B331" s="1" t="s">
        <v>19</v>
      </c>
      <c r="C331">
        <v>2450</v>
      </c>
      <c r="D331">
        <v>110250000</v>
      </c>
      <c r="E331">
        <v>93100000</v>
      </c>
      <c r="F331">
        <v>17150000</v>
      </c>
      <c r="G331" s="2">
        <v>45828</v>
      </c>
      <c r="H331" s="3">
        <f>SUM(D:D)</f>
        <v>10447536600</v>
      </c>
      <c r="I331" s="4">
        <f>SUM(F:F)</f>
        <v>2099369250</v>
      </c>
      <c r="J331" s="4">
        <f>SUM(E:E)</f>
        <v>8348167350</v>
      </c>
      <c r="K331">
        <f>SUM(C:C)</f>
        <v>1017885</v>
      </c>
      <c r="L331">
        <f>MONTH(G:G)</f>
        <v>6</v>
      </c>
      <c r="M331">
        <f>YEAR(G:G)</f>
        <v>2025</v>
      </c>
    </row>
    <row r="332" spans="1:13" x14ac:dyDescent="0.25">
      <c r="A332" s="1" t="s">
        <v>9</v>
      </c>
      <c r="B332" s="1" t="s">
        <v>8</v>
      </c>
      <c r="C332">
        <v>2878</v>
      </c>
      <c r="D332">
        <v>8634000</v>
      </c>
      <c r="E332">
        <v>5180400</v>
      </c>
      <c r="F332">
        <v>3453600</v>
      </c>
      <c r="G332" s="2">
        <v>45834</v>
      </c>
      <c r="H332" s="3">
        <f>SUM(D:D)</f>
        <v>10447536600</v>
      </c>
      <c r="I332" s="4">
        <f>SUM(F:F)</f>
        <v>2099369250</v>
      </c>
      <c r="J332" s="4">
        <f>SUM(E:E)</f>
        <v>8348167350</v>
      </c>
      <c r="K332">
        <f>SUM(C:C)</f>
        <v>1017885</v>
      </c>
      <c r="L332">
        <f>MONTH(G:G)</f>
        <v>6</v>
      </c>
      <c r="M332">
        <f>YEAR(G:G)</f>
        <v>2025</v>
      </c>
    </row>
    <row r="333" spans="1:13" x14ac:dyDescent="0.25">
      <c r="A333" s="1" t="s">
        <v>21</v>
      </c>
      <c r="B333" s="1" t="s">
        <v>23</v>
      </c>
      <c r="C333">
        <v>724</v>
      </c>
      <c r="D333">
        <v>3620000</v>
      </c>
      <c r="E333">
        <v>3040800</v>
      </c>
      <c r="F333">
        <v>579200</v>
      </c>
      <c r="G333" s="2">
        <v>45810</v>
      </c>
      <c r="H333" s="3">
        <f>SUM(D:D)</f>
        <v>10447536600</v>
      </c>
      <c r="I333" s="4">
        <f>SUM(F:F)</f>
        <v>2099369250</v>
      </c>
      <c r="J333" s="4">
        <f>SUM(E:E)</f>
        <v>8348167350</v>
      </c>
      <c r="K333">
        <f>SUM(C:C)</f>
        <v>1017885</v>
      </c>
      <c r="L333">
        <f>MONTH(G:G)</f>
        <v>6</v>
      </c>
      <c r="M333">
        <f>YEAR(G:G)</f>
        <v>2025</v>
      </c>
    </row>
    <row r="334" spans="1:13" x14ac:dyDescent="0.25">
      <c r="A334" s="1" t="s">
        <v>9</v>
      </c>
      <c r="B334" s="1" t="s">
        <v>8</v>
      </c>
      <c r="C334">
        <v>736</v>
      </c>
      <c r="D334">
        <v>2208000</v>
      </c>
      <c r="E334">
        <v>1324800</v>
      </c>
      <c r="F334">
        <v>883200</v>
      </c>
      <c r="G334" s="2">
        <v>45837</v>
      </c>
      <c r="H334" s="3">
        <f>SUM(D:D)</f>
        <v>10447536600</v>
      </c>
      <c r="I334" s="4">
        <f>SUM(F:F)</f>
        <v>2099369250</v>
      </c>
      <c r="J334" s="4">
        <f>SUM(E:E)</f>
        <v>8348167350</v>
      </c>
      <c r="K334">
        <f>SUM(C:C)</f>
        <v>1017885</v>
      </c>
      <c r="L334">
        <f>MONTH(G:G)</f>
        <v>6</v>
      </c>
      <c r="M334">
        <f>YEAR(G:G)</f>
        <v>2025</v>
      </c>
    </row>
    <row r="335" spans="1:13" x14ac:dyDescent="0.25">
      <c r="A335" s="1" t="s">
        <v>15</v>
      </c>
      <c r="B335" s="1" t="s">
        <v>17</v>
      </c>
      <c r="C335">
        <v>2305</v>
      </c>
      <c r="D335">
        <v>34575000</v>
      </c>
      <c r="E335">
        <v>25355000</v>
      </c>
      <c r="F335">
        <v>9220000</v>
      </c>
      <c r="G335" s="2">
        <v>45831</v>
      </c>
      <c r="H335" s="3">
        <f>SUM(D:D)</f>
        <v>10447536600</v>
      </c>
      <c r="I335" s="4">
        <f>SUM(F:F)</f>
        <v>2099369250</v>
      </c>
      <c r="J335" s="4">
        <f>SUM(E:E)</f>
        <v>8348167350</v>
      </c>
      <c r="K335">
        <f>SUM(C:C)</f>
        <v>1017885</v>
      </c>
      <c r="L335">
        <f>MONTH(G:G)</f>
        <v>6</v>
      </c>
      <c r="M335">
        <f>YEAR(G:G)</f>
        <v>2025</v>
      </c>
    </row>
    <row r="336" spans="1:13" x14ac:dyDescent="0.25">
      <c r="A336" s="1" t="s">
        <v>22</v>
      </c>
      <c r="B336" s="1" t="s">
        <v>14</v>
      </c>
      <c r="C336">
        <v>1730</v>
      </c>
      <c r="D336">
        <v>2076000</v>
      </c>
      <c r="E336">
        <v>1384000</v>
      </c>
      <c r="F336">
        <v>692000</v>
      </c>
      <c r="G336" s="2">
        <v>45811</v>
      </c>
      <c r="H336" s="3">
        <f>SUM(D:D)</f>
        <v>10447536600</v>
      </c>
      <c r="I336" s="4">
        <f>SUM(F:F)</f>
        <v>2099369250</v>
      </c>
      <c r="J336" s="4">
        <f>SUM(E:E)</f>
        <v>8348167350</v>
      </c>
      <c r="K336">
        <f>SUM(C:C)</f>
        <v>1017885</v>
      </c>
      <c r="L336">
        <f>MONTH(G:G)</f>
        <v>6</v>
      </c>
      <c r="M336">
        <f>YEAR(G:G)</f>
        <v>2025</v>
      </c>
    </row>
    <row r="337" spans="1:13" x14ac:dyDescent="0.25">
      <c r="A337" s="1" t="s">
        <v>15</v>
      </c>
      <c r="B337" s="1" t="s">
        <v>12</v>
      </c>
      <c r="C337">
        <v>2598</v>
      </c>
      <c r="D337">
        <v>3117600</v>
      </c>
      <c r="E337">
        <v>2208300</v>
      </c>
      <c r="F337">
        <v>909300</v>
      </c>
      <c r="G337" s="2">
        <v>45814</v>
      </c>
      <c r="H337" s="3">
        <f>SUM(D:D)</f>
        <v>10447536600</v>
      </c>
      <c r="I337" s="4">
        <f>SUM(F:F)</f>
        <v>2099369250</v>
      </c>
      <c r="J337" s="4">
        <f>SUM(E:E)</f>
        <v>8348167350</v>
      </c>
      <c r="K337">
        <f>SUM(C:C)</f>
        <v>1017885</v>
      </c>
      <c r="L337">
        <f>MONTH(G:G)</f>
        <v>6</v>
      </c>
      <c r="M337">
        <f>YEAR(G:G)</f>
        <v>2025</v>
      </c>
    </row>
    <row r="338" spans="1:13" x14ac:dyDescent="0.25">
      <c r="A338" s="1" t="s">
        <v>18</v>
      </c>
      <c r="B338" s="1" t="s">
        <v>8</v>
      </c>
      <c r="C338">
        <v>166</v>
      </c>
      <c r="D338">
        <v>498000</v>
      </c>
      <c r="E338">
        <v>298800</v>
      </c>
      <c r="F338">
        <v>199200</v>
      </c>
      <c r="G338" s="2">
        <v>45813</v>
      </c>
      <c r="H338" s="3">
        <f>SUM(D:D)</f>
        <v>10447536600</v>
      </c>
      <c r="I338" s="4">
        <f>SUM(F:F)</f>
        <v>2099369250</v>
      </c>
      <c r="J338" s="4">
        <f>SUM(E:E)</f>
        <v>8348167350</v>
      </c>
      <c r="K338">
        <f>SUM(C:C)</f>
        <v>1017885</v>
      </c>
      <c r="L338">
        <f>MONTH(G:G)</f>
        <v>6</v>
      </c>
      <c r="M338">
        <f>YEAR(G:G)</f>
        <v>2025</v>
      </c>
    </row>
    <row r="339" spans="1:13" x14ac:dyDescent="0.25">
      <c r="A339" s="1" t="s">
        <v>20</v>
      </c>
      <c r="B339" s="1" t="s">
        <v>14</v>
      </c>
      <c r="C339">
        <v>1383</v>
      </c>
      <c r="D339">
        <v>1659600</v>
      </c>
      <c r="E339">
        <v>1106400</v>
      </c>
      <c r="F339">
        <v>553200</v>
      </c>
      <c r="G339" s="2">
        <v>45825</v>
      </c>
      <c r="H339" s="3">
        <f>SUM(D:D)</f>
        <v>10447536600</v>
      </c>
      <c r="I339" s="4">
        <f>SUM(F:F)</f>
        <v>2099369250</v>
      </c>
      <c r="J339" s="4">
        <f>SUM(E:E)</f>
        <v>8348167350</v>
      </c>
      <c r="K339">
        <f>SUM(C:C)</f>
        <v>1017885</v>
      </c>
      <c r="L339">
        <f>MONTH(G:G)</f>
        <v>6</v>
      </c>
      <c r="M339">
        <f>YEAR(G:G)</f>
        <v>2025</v>
      </c>
    </row>
    <row r="340" spans="1:13" x14ac:dyDescent="0.25">
      <c r="A340" s="1" t="s">
        <v>21</v>
      </c>
      <c r="B340" s="1" t="s">
        <v>23</v>
      </c>
      <c r="C340">
        <v>2770</v>
      </c>
      <c r="D340">
        <v>13850000</v>
      </c>
      <c r="E340">
        <v>11634000</v>
      </c>
      <c r="F340">
        <v>2216000</v>
      </c>
      <c r="G340" s="2">
        <v>45832</v>
      </c>
      <c r="H340" s="3">
        <f>SUM(D:D)</f>
        <v>10447536600</v>
      </c>
      <c r="I340" s="4">
        <f>SUM(F:F)</f>
        <v>2099369250</v>
      </c>
      <c r="J340" s="4">
        <f>SUM(E:E)</f>
        <v>8348167350</v>
      </c>
      <c r="K340">
        <f>SUM(C:C)</f>
        <v>1017885</v>
      </c>
      <c r="L340">
        <f>MONTH(G:G)</f>
        <v>6</v>
      </c>
      <c r="M340">
        <f>YEAR(G:G)</f>
        <v>2025</v>
      </c>
    </row>
    <row r="341" spans="1:13" x14ac:dyDescent="0.25">
      <c r="A341" s="1" t="s">
        <v>22</v>
      </c>
      <c r="B341" s="1" t="s">
        <v>19</v>
      </c>
      <c r="C341">
        <v>459</v>
      </c>
      <c r="D341">
        <v>20655000</v>
      </c>
      <c r="E341">
        <v>17442000</v>
      </c>
      <c r="F341">
        <v>3213000</v>
      </c>
      <c r="G341" s="2">
        <v>45827</v>
      </c>
      <c r="H341" s="3">
        <f>SUM(D:D)</f>
        <v>10447536600</v>
      </c>
      <c r="I341" s="4">
        <f>SUM(F:F)</f>
        <v>2099369250</v>
      </c>
      <c r="J341" s="4">
        <f>SUM(E:E)</f>
        <v>8348167350</v>
      </c>
      <c r="K341">
        <f>SUM(C:C)</f>
        <v>1017885</v>
      </c>
      <c r="L341">
        <f>MONTH(G:G)</f>
        <v>6</v>
      </c>
      <c r="M341">
        <f>YEAR(G:G)</f>
        <v>2025</v>
      </c>
    </row>
    <row r="342" spans="1:13" x14ac:dyDescent="0.25">
      <c r="A342" s="1" t="s">
        <v>13</v>
      </c>
      <c r="B342" s="1" t="s">
        <v>17</v>
      </c>
      <c r="C342">
        <v>744</v>
      </c>
      <c r="D342">
        <v>11160000</v>
      </c>
      <c r="E342">
        <v>8184000</v>
      </c>
      <c r="F342">
        <v>2976000</v>
      </c>
      <c r="G342" s="2">
        <v>45817</v>
      </c>
      <c r="H342" s="3">
        <f>SUM(D:D)</f>
        <v>10447536600</v>
      </c>
      <c r="I342" s="4">
        <f>SUM(F:F)</f>
        <v>2099369250</v>
      </c>
      <c r="J342" s="4">
        <f>SUM(E:E)</f>
        <v>8348167350</v>
      </c>
      <c r="K342">
        <f>SUM(C:C)</f>
        <v>1017885</v>
      </c>
      <c r="L342">
        <f>MONTH(G:G)</f>
        <v>6</v>
      </c>
      <c r="M342">
        <f>YEAR(G:G)</f>
        <v>2025</v>
      </c>
    </row>
    <row r="343" spans="1:13" x14ac:dyDescent="0.25">
      <c r="A343" s="1" t="s">
        <v>7</v>
      </c>
      <c r="B343" s="1" t="s">
        <v>14</v>
      </c>
      <c r="C343">
        <v>2970</v>
      </c>
      <c r="D343">
        <v>3564000</v>
      </c>
      <c r="E343">
        <v>2376000</v>
      </c>
      <c r="F343">
        <v>1188000</v>
      </c>
      <c r="G343" s="2">
        <v>45827</v>
      </c>
      <c r="H343" s="3">
        <f>SUM(D:D)</f>
        <v>10447536600</v>
      </c>
      <c r="I343" s="4">
        <f>SUM(F:F)</f>
        <v>2099369250</v>
      </c>
      <c r="J343" s="4">
        <f>SUM(E:E)</f>
        <v>8348167350</v>
      </c>
      <c r="K343">
        <f>SUM(C:C)</f>
        <v>1017885</v>
      </c>
      <c r="L343">
        <f>MONTH(G:G)</f>
        <v>6</v>
      </c>
      <c r="M343">
        <f>YEAR(G:G)</f>
        <v>2025</v>
      </c>
    </row>
    <row r="344" spans="1:13" x14ac:dyDescent="0.25">
      <c r="A344" s="1" t="s">
        <v>15</v>
      </c>
      <c r="B344" s="1" t="s">
        <v>12</v>
      </c>
      <c r="C344">
        <v>402</v>
      </c>
      <c r="D344">
        <v>482400</v>
      </c>
      <c r="E344">
        <v>341700</v>
      </c>
      <c r="F344">
        <v>140700</v>
      </c>
      <c r="G344" s="2">
        <v>45833</v>
      </c>
      <c r="H344" s="3">
        <f>SUM(D:D)</f>
        <v>10447536600</v>
      </c>
      <c r="I344" s="4">
        <f>SUM(F:F)</f>
        <v>2099369250</v>
      </c>
      <c r="J344" s="4">
        <f>SUM(E:E)</f>
        <v>8348167350</v>
      </c>
      <c r="K344">
        <f>SUM(C:C)</f>
        <v>1017885</v>
      </c>
      <c r="L344">
        <f>MONTH(G:G)</f>
        <v>6</v>
      </c>
      <c r="M344">
        <f>YEAR(G:G)</f>
        <v>2025</v>
      </c>
    </row>
    <row r="345" spans="1:13" x14ac:dyDescent="0.25">
      <c r="A345" s="1" t="s">
        <v>21</v>
      </c>
      <c r="B345" s="1" t="s">
        <v>14</v>
      </c>
      <c r="C345">
        <v>2964</v>
      </c>
      <c r="D345">
        <v>3556800</v>
      </c>
      <c r="E345">
        <v>2371200</v>
      </c>
      <c r="F345">
        <v>1185600</v>
      </c>
      <c r="G345" s="2">
        <v>45838</v>
      </c>
      <c r="H345" s="3">
        <f>SUM(D:D)</f>
        <v>10447536600</v>
      </c>
      <c r="I345" s="4">
        <f>SUM(F:F)</f>
        <v>2099369250</v>
      </c>
      <c r="J345" s="4">
        <f>SUM(E:E)</f>
        <v>8348167350</v>
      </c>
      <c r="K345">
        <f>SUM(C:C)</f>
        <v>1017885</v>
      </c>
      <c r="L345">
        <f>MONTH(G:G)</f>
        <v>6</v>
      </c>
      <c r="M345">
        <f>YEAR(G:G)</f>
        <v>2025</v>
      </c>
    </row>
    <row r="346" spans="1:13" x14ac:dyDescent="0.25">
      <c r="A346" s="1" t="s">
        <v>20</v>
      </c>
      <c r="B346" s="1" t="s">
        <v>10</v>
      </c>
      <c r="C346">
        <v>1018</v>
      </c>
      <c r="D346">
        <v>3563000</v>
      </c>
      <c r="E346">
        <v>2646800</v>
      </c>
      <c r="F346">
        <v>916200</v>
      </c>
      <c r="G346" s="2">
        <v>45820</v>
      </c>
      <c r="H346" s="3">
        <f>SUM(D:D)</f>
        <v>10447536600</v>
      </c>
      <c r="I346" s="4">
        <f>SUM(F:F)</f>
        <v>2099369250</v>
      </c>
      <c r="J346" s="4">
        <f>SUM(E:E)</f>
        <v>8348167350</v>
      </c>
      <c r="K346">
        <f>SUM(C:C)</f>
        <v>1017885</v>
      </c>
      <c r="L346">
        <f>MONTH(G:G)</f>
        <v>6</v>
      </c>
      <c r="M346">
        <f>YEAR(G:G)</f>
        <v>2025</v>
      </c>
    </row>
    <row r="347" spans="1:13" x14ac:dyDescent="0.25">
      <c r="A347" s="1" t="s">
        <v>21</v>
      </c>
      <c r="B347" s="1" t="s">
        <v>10</v>
      </c>
      <c r="C347">
        <v>175</v>
      </c>
      <c r="D347">
        <v>612500</v>
      </c>
      <c r="E347">
        <v>455000</v>
      </c>
      <c r="F347">
        <v>157500</v>
      </c>
      <c r="G347" s="2">
        <v>45823</v>
      </c>
      <c r="H347" s="3">
        <f>SUM(D:D)</f>
        <v>10447536600</v>
      </c>
      <c r="I347" s="4">
        <f>SUM(F:F)</f>
        <v>2099369250</v>
      </c>
      <c r="J347" s="4">
        <f>SUM(E:E)</f>
        <v>8348167350</v>
      </c>
      <c r="K347">
        <f>SUM(C:C)</f>
        <v>1017885</v>
      </c>
      <c r="L347">
        <f>MONTH(G:G)</f>
        <v>6</v>
      </c>
      <c r="M347">
        <f>YEAR(G:G)</f>
        <v>2025</v>
      </c>
    </row>
    <row r="348" spans="1:13" x14ac:dyDescent="0.25">
      <c r="A348" s="1" t="s">
        <v>11</v>
      </c>
      <c r="B348" s="1" t="s">
        <v>19</v>
      </c>
      <c r="C348">
        <v>2841</v>
      </c>
      <c r="D348">
        <v>127845000</v>
      </c>
      <c r="E348">
        <v>107958000</v>
      </c>
      <c r="F348">
        <v>19887000</v>
      </c>
      <c r="G348" s="2">
        <v>45866</v>
      </c>
      <c r="H348" s="3">
        <f>SUM(D:D)</f>
        <v>10447536600</v>
      </c>
      <c r="I348" s="4">
        <f>SUM(F:F)</f>
        <v>2099369250</v>
      </c>
      <c r="J348" s="4">
        <f>SUM(E:E)</f>
        <v>8348167350</v>
      </c>
      <c r="K348">
        <f>SUM(C:C)</f>
        <v>1017885</v>
      </c>
      <c r="L348">
        <f>MONTH(G:G)</f>
        <v>7</v>
      </c>
      <c r="M348">
        <f>YEAR(G:G)</f>
        <v>2025</v>
      </c>
    </row>
    <row r="349" spans="1:13" x14ac:dyDescent="0.25">
      <c r="A349" s="1" t="s">
        <v>7</v>
      </c>
      <c r="B349" s="1" t="s">
        <v>12</v>
      </c>
      <c r="C349">
        <v>1346</v>
      </c>
      <c r="D349">
        <v>1615200</v>
      </c>
      <c r="E349">
        <v>1144100</v>
      </c>
      <c r="F349">
        <v>471100</v>
      </c>
      <c r="G349" s="2">
        <v>45850</v>
      </c>
      <c r="H349" s="3">
        <f>SUM(D:D)</f>
        <v>10447536600</v>
      </c>
      <c r="I349" s="4">
        <f>SUM(F:F)</f>
        <v>2099369250</v>
      </c>
      <c r="J349" s="4">
        <f>SUM(E:E)</f>
        <v>8348167350</v>
      </c>
      <c r="K349">
        <f>SUM(C:C)</f>
        <v>1017885</v>
      </c>
      <c r="L349">
        <f>MONTH(G:G)</f>
        <v>7</v>
      </c>
      <c r="M349">
        <f>YEAR(G:G)</f>
        <v>2025</v>
      </c>
    </row>
    <row r="350" spans="1:13" x14ac:dyDescent="0.25">
      <c r="A350" s="1" t="s">
        <v>7</v>
      </c>
      <c r="B350" s="1" t="s">
        <v>19</v>
      </c>
      <c r="C350">
        <v>2100</v>
      </c>
      <c r="D350">
        <v>94500000</v>
      </c>
      <c r="E350">
        <v>79800000</v>
      </c>
      <c r="F350">
        <v>14700000</v>
      </c>
      <c r="G350" s="2">
        <v>45845</v>
      </c>
      <c r="H350" s="3">
        <f>SUM(D:D)</f>
        <v>10447536600</v>
      </c>
      <c r="I350" s="4">
        <f>SUM(F:F)</f>
        <v>2099369250</v>
      </c>
      <c r="J350" s="4">
        <f>SUM(E:E)</f>
        <v>8348167350</v>
      </c>
      <c r="K350">
        <f>SUM(C:C)</f>
        <v>1017885</v>
      </c>
      <c r="L350">
        <f>MONTH(G:G)</f>
        <v>7</v>
      </c>
      <c r="M350">
        <f>YEAR(G:G)</f>
        <v>2025</v>
      </c>
    </row>
    <row r="351" spans="1:13" x14ac:dyDescent="0.25">
      <c r="A351" s="1" t="s">
        <v>21</v>
      </c>
      <c r="B351" s="1" t="s">
        <v>19</v>
      </c>
      <c r="C351">
        <v>2914</v>
      </c>
      <c r="D351">
        <v>131130000</v>
      </c>
      <c r="E351">
        <v>110732000</v>
      </c>
      <c r="F351">
        <v>20398000</v>
      </c>
      <c r="G351" s="2">
        <v>45852</v>
      </c>
      <c r="H351" s="3">
        <f>SUM(D:D)</f>
        <v>10447536600</v>
      </c>
      <c r="I351" s="4">
        <f>SUM(F:F)</f>
        <v>2099369250</v>
      </c>
      <c r="J351" s="4">
        <f>SUM(E:E)</f>
        <v>8348167350</v>
      </c>
      <c r="K351">
        <f>SUM(C:C)</f>
        <v>1017885</v>
      </c>
      <c r="L351">
        <f>MONTH(G:G)</f>
        <v>7</v>
      </c>
      <c r="M351">
        <f>YEAR(G:G)</f>
        <v>2025</v>
      </c>
    </row>
    <row r="352" spans="1:13" x14ac:dyDescent="0.25">
      <c r="A352" s="1" t="s">
        <v>21</v>
      </c>
      <c r="B352" s="1" t="s">
        <v>12</v>
      </c>
      <c r="C352">
        <v>1004</v>
      </c>
      <c r="D352">
        <v>1204800</v>
      </c>
      <c r="E352">
        <v>853400</v>
      </c>
      <c r="F352">
        <v>351400</v>
      </c>
      <c r="G352" s="2">
        <v>45852</v>
      </c>
      <c r="H352" s="3">
        <f>SUM(D:D)</f>
        <v>10447536600</v>
      </c>
      <c r="I352" s="4">
        <f>SUM(F:F)</f>
        <v>2099369250</v>
      </c>
      <c r="J352" s="4">
        <f>SUM(E:E)</f>
        <v>8348167350</v>
      </c>
      <c r="K352">
        <f>SUM(C:C)</f>
        <v>1017885</v>
      </c>
      <c r="L352">
        <f>MONTH(G:G)</f>
        <v>7</v>
      </c>
      <c r="M352">
        <f>YEAR(G:G)</f>
        <v>2025</v>
      </c>
    </row>
    <row r="353" spans="1:13" x14ac:dyDescent="0.25">
      <c r="A353" s="1" t="s">
        <v>11</v>
      </c>
      <c r="B353" s="1" t="s">
        <v>17</v>
      </c>
      <c r="C353">
        <v>86</v>
      </c>
      <c r="D353">
        <v>1290000</v>
      </c>
      <c r="E353">
        <v>946000</v>
      </c>
      <c r="F353">
        <v>344000</v>
      </c>
      <c r="G353" s="2">
        <v>45869</v>
      </c>
      <c r="H353" s="3">
        <f>SUM(D:D)</f>
        <v>10447536600</v>
      </c>
      <c r="I353" s="4">
        <f>SUM(F:F)</f>
        <v>2099369250</v>
      </c>
      <c r="J353" s="4">
        <f>SUM(E:E)</f>
        <v>8348167350</v>
      </c>
      <c r="K353">
        <f>SUM(C:C)</f>
        <v>1017885</v>
      </c>
      <c r="L353">
        <f>MONTH(G:G)</f>
        <v>7</v>
      </c>
      <c r="M353">
        <f>YEAR(G:G)</f>
        <v>2025</v>
      </c>
    </row>
    <row r="354" spans="1:13" x14ac:dyDescent="0.25">
      <c r="A354" s="1" t="s">
        <v>16</v>
      </c>
      <c r="B354" s="1" t="s">
        <v>10</v>
      </c>
      <c r="C354">
        <v>1300</v>
      </c>
      <c r="D354">
        <v>4550000</v>
      </c>
      <c r="E354">
        <v>3380000</v>
      </c>
      <c r="F354">
        <v>1170000</v>
      </c>
      <c r="G354" s="2">
        <v>45845</v>
      </c>
      <c r="H354" s="3">
        <f>SUM(D:D)</f>
        <v>10447536600</v>
      </c>
      <c r="I354" s="4">
        <f>SUM(F:F)</f>
        <v>2099369250</v>
      </c>
      <c r="J354" s="4">
        <f>SUM(E:E)</f>
        <v>8348167350</v>
      </c>
      <c r="K354">
        <f>SUM(C:C)</f>
        <v>1017885</v>
      </c>
      <c r="L354">
        <f>MONTH(G:G)</f>
        <v>7</v>
      </c>
      <c r="M354">
        <f>YEAR(G:G)</f>
        <v>2025</v>
      </c>
    </row>
    <row r="355" spans="1:13" x14ac:dyDescent="0.25">
      <c r="A355" s="1" t="s">
        <v>20</v>
      </c>
      <c r="B355" s="1" t="s">
        <v>17</v>
      </c>
      <c r="C355">
        <v>2478</v>
      </c>
      <c r="D355">
        <v>37170000</v>
      </c>
      <c r="E355">
        <v>27258000</v>
      </c>
      <c r="F355">
        <v>9912000</v>
      </c>
      <c r="G355" s="2">
        <v>45845</v>
      </c>
      <c r="H355" s="3">
        <f>SUM(D:D)</f>
        <v>10447536600</v>
      </c>
      <c r="I355" s="4">
        <f>SUM(F:F)</f>
        <v>2099369250</v>
      </c>
      <c r="J355" s="4">
        <f>SUM(E:E)</f>
        <v>8348167350</v>
      </c>
      <c r="K355">
        <f>SUM(C:C)</f>
        <v>1017885</v>
      </c>
      <c r="L355">
        <f>MONTH(G:G)</f>
        <v>7</v>
      </c>
      <c r="M355">
        <f>YEAR(G:G)</f>
        <v>2025</v>
      </c>
    </row>
    <row r="356" spans="1:13" x14ac:dyDescent="0.25">
      <c r="A356" s="1" t="s">
        <v>15</v>
      </c>
      <c r="B356" s="1" t="s">
        <v>8</v>
      </c>
      <c r="C356">
        <v>2056</v>
      </c>
      <c r="D356">
        <v>6168000</v>
      </c>
      <c r="E356">
        <v>3700800</v>
      </c>
      <c r="F356">
        <v>2467200</v>
      </c>
      <c r="G356" s="2">
        <v>45863</v>
      </c>
      <c r="H356" s="3">
        <f>SUM(D:D)</f>
        <v>10447536600</v>
      </c>
      <c r="I356" s="4">
        <f>SUM(F:F)</f>
        <v>2099369250</v>
      </c>
      <c r="J356" s="4">
        <f>SUM(E:E)</f>
        <v>8348167350</v>
      </c>
      <c r="K356">
        <f>SUM(C:C)</f>
        <v>1017885</v>
      </c>
      <c r="L356">
        <f>MONTH(G:G)</f>
        <v>7</v>
      </c>
      <c r="M356">
        <f>YEAR(G:G)</f>
        <v>2025</v>
      </c>
    </row>
    <row r="357" spans="1:13" x14ac:dyDescent="0.25">
      <c r="A357" s="1" t="s">
        <v>15</v>
      </c>
      <c r="B357" s="1" t="s">
        <v>23</v>
      </c>
      <c r="C357">
        <v>1657</v>
      </c>
      <c r="D357">
        <v>8285000</v>
      </c>
      <c r="E357">
        <v>6959400</v>
      </c>
      <c r="F357">
        <v>1325600</v>
      </c>
      <c r="G357" s="2">
        <v>45854</v>
      </c>
      <c r="H357" s="3">
        <f>SUM(D:D)</f>
        <v>10447536600</v>
      </c>
      <c r="I357" s="4">
        <f>SUM(F:F)</f>
        <v>2099369250</v>
      </c>
      <c r="J357" s="4">
        <f>SUM(E:E)</f>
        <v>8348167350</v>
      </c>
      <c r="K357">
        <f>SUM(C:C)</f>
        <v>1017885</v>
      </c>
      <c r="L357">
        <f>MONTH(G:G)</f>
        <v>7</v>
      </c>
      <c r="M357">
        <f>YEAR(G:G)</f>
        <v>2025</v>
      </c>
    </row>
    <row r="358" spans="1:13" x14ac:dyDescent="0.25">
      <c r="A358" s="1" t="s">
        <v>22</v>
      </c>
      <c r="B358" s="1" t="s">
        <v>8</v>
      </c>
      <c r="C358">
        <v>1157</v>
      </c>
      <c r="D358">
        <v>3471000</v>
      </c>
      <c r="E358">
        <v>2082600</v>
      </c>
      <c r="F358">
        <v>1388400</v>
      </c>
      <c r="G358" s="2">
        <v>45857</v>
      </c>
      <c r="H358" s="3">
        <f>SUM(D:D)</f>
        <v>10447536600</v>
      </c>
      <c r="I358" s="4">
        <f>SUM(F:F)</f>
        <v>2099369250</v>
      </c>
      <c r="J358" s="4">
        <f>SUM(E:E)</f>
        <v>8348167350</v>
      </c>
      <c r="K358">
        <f>SUM(C:C)</f>
        <v>1017885</v>
      </c>
      <c r="L358">
        <f>MONTH(G:G)</f>
        <v>7</v>
      </c>
      <c r="M358">
        <f>YEAR(G:G)</f>
        <v>2025</v>
      </c>
    </row>
    <row r="359" spans="1:13" x14ac:dyDescent="0.25">
      <c r="A359" s="1" t="s">
        <v>16</v>
      </c>
      <c r="B359" s="1" t="s">
        <v>12</v>
      </c>
      <c r="C359">
        <v>579</v>
      </c>
      <c r="D359">
        <v>694800</v>
      </c>
      <c r="E359">
        <v>492150</v>
      </c>
      <c r="F359">
        <v>202650</v>
      </c>
      <c r="G359" s="2">
        <v>45854</v>
      </c>
      <c r="H359" s="3">
        <f>SUM(D:D)</f>
        <v>10447536600</v>
      </c>
      <c r="I359" s="4">
        <f>SUM(F:F)</f>
        <v>2099369250</v>
      </c>
      <c r="J359" s="4">
        <f>SUM(E:E)</f>
        <v>8348167350</v>
      </c>
      <c r="K359">
        <f>SUM(C:C)</f>
        <v>1017885</v>
      </c>
      <c r="L359">
        <f>MONTH(G:G)</f>
        <v>7</v>
      </c>
      <c r="M359">
        <f>YEAR(G:G)</f>
        <v>2025</v>
      </c>
    </row>
    <row r="360" spans="1:13" x14ac:dyDescent="0.25">
      <c r="A360" s="1" t="s">
        <v>21</v>
      </c>
      <c r="B360" s="1" t="s">
        <v>23</v>
      </c>
      <c r="C360">
        <v>63</v>
      </c>
      <c r="D360">
        <v>315000</v>
      </c>
      <c r="E360">
        <v>264600</v>
      </c>
      <c r="F360">
        <v>50400</v>
      </c>
      <c r="G360" s="2">
        <v>45839</v>
      </c>
      <c r="H360" s="3">
        <f>SUM(D:D)</f>
        <v>10447536600</v>
      </c>
      <c r="I360" s="4">
        <f>SUM(F:F)</f>
        <v>2099369250</v>
      </c>
      <c r="J360" s="4">
        <f>SUM(E:E)</f>
        <v>8348167350</v>
      </c>
      <c r="K360">
        <f>SUM(C:C)</f>
        <v>1017885</v>
      </c>
      <c r="L360">
        <f>MONTH(G:G)</f>
        <v>7</v>
      </c>
      <c r="M360">
        <f>YEAR(G:G)</f>
        <v>2025</v>
      </c>
    </row>
    <row r="361" spans="1:13" x14ac:dyDescent="0.25">
      <c r="A361" s="1" t="s">
        <v>13</v>
      </c>
      <c r="B361" s="1" t="s">
        <v>14</v>
      </c>
      <c r="C361">
        <v>1975</v>
      </c>
      <c r="D361">
        <v>2370000</v>
      </c>
      <c r="E361">
        <v>1580000</v>
      </c>
      <c r="F361">
        <v>790000</v>
      </c>
      <c r="G361" s="2">
        <v>45864</v>
      </c>
      <c r="H361" s="3">
        <f>SUM(D:D)</f>
        <v>10447536600</v>
      </c>
      <c r="I361" s="4">
        <f>SUM(F:F)</f>
        <v>2099369250</v>
      </c>
      <c r="J361" s="4">
        <f>SUM(E:E)</f>
        <v>8348167350</v>
      </c>
      <c r="K361">
        <f>SUM(C:C)</f>
        <v>1017885</v>
      </c>
      <c r="L361">
        <f>MONTH(G:G)</f>
        <v>7</v>
      </c>
      <c r="M361">
        <f>YEAR(G:G)</f>
        <v>2025</v>
      </c>
    </row>
    <row r="362" spans="1:13" x14ac:dyDescent="0.25">
      <c r="A362" s="1" t="s">
        <v>13</v>
      </c>
      <c r="B362" s="1" t="s">
        <v>14</v>
      </c>
      <c r="C362">
        <v>1279</v>
      </c>
      <c r="D362">
        <v>1534800</v>
      </c>
      <c r="E362">
        <v>1023200</v>
      </c>
      <c r="F362">
        <v>511600</v>
      </c>
      <c r="G362" s="2">
        <v>45862</v>
      </c>
      <c r="H362" s="3">
        <f>SUM(D:D)</f>
        <v>10447536600</v>
      </c>
      <c r="I362" s="4">
        <f>SUM(F:F)</f>
        <v>2099369250</v>
      </c>
      <c r="J362" s="4">
        <f>SUM(E:E)</f>
        <v>8348167350</v>
      </c>
      <c r="K362">
        <f>SUM(C:C)</f>
        <v>1017885</v>
      </c>
      <c r="L362">
        <f>MONTH(G:G)</f>
        <v>7</v>
      </c>
      <c r="M362">
        <f>YEAR(G:G)</f>
        <v>2025</v>
      </c>
    </row>
    <row r="363" spans="1:13" x14ac:dyDescent="0.25">
      <c r="A363" s="1" t="s">
        <v>15</v>
      </c>
      <c r="B363" s="1" t="s">
        <v>10</v>
      </c>
      <c r="C363">
        <v>325</v>
      </c>
      <c r="D363">
        <v>1137500</v>
      </c>
      <c r="E363">
        <v>845000</v>
      </c>
      <c r="F363">
        <v>292500</v>
      </c>
      <c r="G363" s="2">
        <v>45852</v>
      </c>
      <c r="H363" s="3">
        <f>SUM(D:D)</f>
        <v>10447536600</v>
      </c>
      <c r="I363" s="4">
        <f>SUM(F:F)</f>
        <v>2099369250</v>
      </c>
      <c r="J363" s="4">
        <f>SUM(E:E)</f>
        <v>8348167350</v>
      </c>
      <c r="K363">
        <f>SUM(C:C)</f>
        <v>1017885</v>
      </c>
      <c r="L363">
        <f>MONTH(G:G)</f>
        <v>7</v>
      </c>
      <c r="M363">
        <f>YEAR(G:G)</f>
        <v>2025</v>
      </c>
    </row>
    <row r="364" spans="1:13" x14ac:dyDescent="0.25">
      <c r="A364" s="1" t="s">
        <v>16</v>
      </c>
      <c r="B364" s="1" t="s">
        <v>14</v>
      </c>
      <c r="C364">
        <v>742</v>
      </c>
      <c r="D364">
        <v>890400</v>
      </c>
      <c r="E364">
        <v>593600</v>
      </c>
      <c r="F364">
        <v>296800</v>
      </c>
      <c r="G364" s="2">
        <v>45879</v>
      </c>
      <c r="H364" s="3">
        <f>SUM(D:D)</f>
        <v>10447536600</v>
      </c>
      <c r="I364" s="4">
        <f>SUM(F:F)</f>
        <v>2099369250</v>
      </c>
      <c r="J364" s="4">
        <f>SUM(E:E)</f>
        <v>8348167350</v>
      </c>
      <c r="K364">
        <f>SUM(C:C)</f>
        <v>1017885</v>
      </c>
      <c r="L364">
        <f>MONTH(G:G)</f>
        <v>8</v>
      </c>
      <c r="M364">
        <f>YEAR(G:G)</f>
        <v>2025</v>
      </c>
    </row>
    <row r="365" spans="1:13" x14ac:dyDescent="0.25">
      <c r="A365" s="1" t="s">
        <v>13</v>
      </c>
      <c r="B365" s="1" t="s">
        <v>10</v>
      </c>
      <c r="C365">
        <v>147</v>
      </c>
      <c r="D365">
        <v>514500</v>
      </c>
      <c r="E365">
        <v>382200</v>
      </c>
      <c r="F365">
        <v>132300</v>
      </c>
      <c r="G365" s="2">
        <v>45876</v>
      </c>
      <c r="H365" s="3">
        <f>SUM(D:D)</f>
        <v>10447536600</v>
      </c>
      <c r="I365" s="4">
        <f>SUM(F:F)</f>
        <v>2099369250</v>
      </c>
      <c r="J365" s="4">
        <f>SUM(E:E)</f>
        <v>8348167350</v>
      </c>
      <c r="K365">
        <f>SUM(C:C)</f>
        <v>1017885</v>
      </c>
      <c r="L365">
        <f>MONTH(G:G)</f>
        <v>8</v>
      </c>
      <c r="M365">
        <f>YEAR(G:G)</f>
        <v>2025</v>
      </c>
    </row>
    <row r="366" spans="1:13" x14ac:dyDescent="0.25">
      <c r="A366" s="1" t="s">
        <v>21</v>
      </c>
      <c r="B366" s="1" t="s">
        <v>8</v>
      </c>
      <c r="C366">
        <v>104</v>
      </c>
      <c r="D366">
        <v>312000</v>
      </c>
      <c r="E366">
        <v>187200</v>
      </c>
      <c r="F366">
        <v>124800</v>
      </c>
      <c r="G366" s="2">
        <v>45880</v>
      </c>
      <c r="H366" s="3">
        <f>SUM(D:D)</f>
        <v>10447536600</v>
      </c>
      <c r="I366" s="4">
        <f>SUM(F:F)</f>
        <v>2099369250</v>
      </c>
      <c r="J366" s="4">
        <f>SUM(E:E)</f>
        <v>8348167350</v>
      </c>
      <c r="K366">
        <f>SUM(C:C)</f>
        <v>1017885</v>
      </c>
      <c r="L366">
        <f>MONTH(G:G)</f>
        <v>8</v>
      </c>
      <c r="M366">
        <f>YEAR(G:G)</f>
        <v>2025</v>
      </c>
    </row>
    <row r="367" spans="1:13" x14ac:dyDescent="0.25">
      <c r="A367" s="1" t="s">
        <v>7</v>
      </c>
      <c r="B367" s="1" t="s">
        <v>23</v>
      </c>
      <c r="C367">
        <v>2170</v>
      </c>
      <c r="D367">
        <v>10850000</v>
      </c>
      <c r="E367">
        <v>9114000</v>
      </c>
      <c r="F367">
        <v>1736000</v>
      </c>
      <c r="G367" s="2">
        <v>45896</v>
      </c>
      <c r="H367" s="3">
        <f>SUM(D:D)</f>
        <v>10447536600</v>
      </c>
      <c r="I367" s="4">
        <f>SUM(F:F)</f>
        <v>2099369250</v>
      </c>
      <c r="J367" s="4">
        <f>SUM(E:E)</f>
        <v>8348167350</v>
      </c>
      <c r="K367">
        <f>SUM(C:C)</f>
        <v>1017885</v>
      </c>
      <c r="L367">
        <f>MONTH(G:G)</f>
        <v>8</v>
      </c>
      <c r="M367">
        <f>YEAR(G:G)</f>
        <v>2025</v>
      </c>
    </row>
    <row r="368" spans="1:13" x14ac:dyDescent="0.25">
      <c r="A368" s="1" t="s">
        <v>16</v>
      </c>
      <c r="B368" s="1" t="s">
        <v>10</v>
      </c>
      <c r="C368">
        <v>2980</v>
      </c>
      <c r="D368">
        <v>10430000</v>
      </c>
      <c r="E368">
        <v>7748000</v>
      </c>
      <c r="F368">
        <v>2682000</v>
      </c>
      <c r="G368" s="2">
        <v>45880</v>
      </c>
      <c r="H368" s="3">
        <f>SUM(D:D)</f>
        <v>10447536600</v>
      </c>
      <c r="I368" s="4">
        <f>SUM(F:F)</f>
        <v>2099369250</v>
      </c>
      <c r="J368" s="4">
        <f>SUM(E:E)</f>
        <v>8348167350</v>
      </c>
      <c r="K368">
        <f>SUM(C:C)</f>
        <v>1017885</v>
      </c>
      <c r="L368">
        <f>MONTH(G:G)</f>
        <v>8</v>
      </c>
      <c r="M368">
        <f>YEAR(G:G)</f>
        <v>2025</v>
      </c>
    </row>
    <row r="369" spans="1:13" x14ac:dyDescent="0.25">
      <c r="A369" s="1" t="s">
        <v>21</v>
      </c>
      <c r="B369" s="1" t="s">
        <v>23</v>
      </c>
      <c r="C369">
        <v>2594</v>
      </c>
      <c r="D369">
        <v>12970000</v>
      </c>
      <c r="E369">
        <v>10894800</v>
      </c>
      <c r="F369">
        <v>2075200</v>
      </c>
      <c r="G369" s="2">
        <v>45875</v>
      </c>
      <c r="H369" s="3">
        <f>SUM(D:D)</f>
        <v>10447536600</v>
      </c>
      <c r="I369" s="4">
        <f>SUM(F:F)</f>
        <v>2099369250</v>
      </c>
      <c r="J369" s="4">
        <f>SUM(E:E)</f>
        <v>8348167350</v>
      </c>
      <c r="K369">
        <f>SUM(C:C)</f>
        <v>1017885</v>
      </c>
      <c r="L369">
        <f>MONTH(G:G)</f>
        <v>8</v>
      </c>
      <c r="M369">
        <f>YEAR(G:G)</f>
        <v>2025</v>
      </c>
    </row>
    <row r="370" spans="1:13" x14ac:dyDescent="0.25">
      <c r="A370" s="1" t="s">
        <v>7</v>
      </c>
      <c r="B370" s="1" t="s">
        <v>14</v>
      </c>
      <c r="C370">
        <v>808</v>
      </c>
      <c r="D370">
        <v>969600</v>
      </c>
      <c r="E370">
        <v>646400</v>
      </c>
      <c r="F370">
        <v>323200</v>
      </c>
      <c r="G370" s="2">
        <v>45872</v>
      </c>
      <c r="H370" s="3">
        <f>SUM(D:D)</f>
        <v>10447536600</v>
      </c>
      <c r="I370" s="4">
        <f>SUM(F:F)</f>
        <v>2099369250</v>
      </c>
      <c r="J370" s="4">
        <f>SUM(E:E)</f>
        <v>8348167350</v>
      </c>
      <c r="K370">
        <f>SUM(C:C)</f>
        <v>1017885</v>
      </c>
      <c r="L370">
        <f>MONTH(G:G)</f>
        <v>8</v>
      </c>
      <c r="M370">
        <f>YEAR(G:G)</f>
        <v>2025</v>
      </c>
    </row>
    <row r="371" spans="1:13" x14ac:dyDescent="0.25">
      <c r="A371" s="1" t="s">
        <v>15</v>
      </c>
      <c r="B371" s="1" t="s">
        <v>19</v>
      </c>
      <c r="C371">
        <v>797</v>
      </c>
      <c r="D371">
        <v>35865000</v>
      </c>
      <c r="E371">
        <v>30286000</v>
      </c>
      <c r="F371">
        <v>5579000</v>
      </c>
      <c r="G371" s="2">
        <v>45881</v>
      </c>
      <c r="H371" s="3">
        <f>SUM(D:D)</f>
        <v>10447536600</v>
      </c>
      <c r="I371" s="4">
        <f>SUM(F:F)</f>
        <v>2099369250</v>
      </c>
      <c r="J371" s="4">
        <f>SUM(E:E)</f>
        <v>8348167350</v>
      </c>
      <c r="K371">
        <f>SUM(C:C)</f>
        <v>1017885</v>
      </c>
      <c r="L371">
        <f>MONTH(G:G)</f>
        <v>8</v>
      </c>
      <c r="M371">
        <f>YEAR(G:G)</f>
        <v>2025</v>
      </c>
    </row>
    <row r="372" spans="1:13" x14ac:dyDescent="0.25">
      <c r="A372" s="1" t="s">
        <v>7</v>
      </c>
      <c r="B372" s="1" t="s">
        <v>8</v>
      </c>
      <c r="C372">
        <v>87</v>
      </c>
      <c r="D372">
        <v>261000</v>
      </c>
      <c r="E372">
        <v>156600</v>
      </c>
      <c r="F372">
        <v>104400</v>
      </c>
      <c r="G372" s="2">
        <v>45885</v>
      </c>
      <c r="H372" s="3">
        <f>SUM(D:D)</f>
        <v>10447536600</v>
      </c>
      <c r="I372" s="4">
        <f>SUM(F:F)</f>
        <v>2099369250</v>
      </c>
      <c r="J372" s="4">
        <f>SUM(E:E)</f>
        <v>8348167350</v>
      </c>
      <c r="K372">
        <f>SUM(C:C)</f>
        <v>1017885</v>
      </c>
      <c r="L372">
        <f>MONTH(G:G)</f>
        <v>8</v>
      </c>
      <c r="M372">
        <f>YEAR(G:G)</f>
        <v>2025</v>
      </c>
    </row>
    <row r="373" spans="1:13" x14ac:dyDescent="0.25">
      <c r="A373" s="1" t="s">
        <v>16</v>
      </c>
      <c r="B373" s="1" t="s">
        <v>17</v>
      </c>
      <c r="C373">
        <v>1598</v>
      </c>
      <c r="D373">
        <v>23970000</v>
      </c>
      <c r="E373">
        <v>17578000</v>
      </c>
      <c r="F373">
        <v>6392000</v>
      </c>
      <c r="G373" s="2">
        <v>45900</v>
      </c>
      <c r="H373" s="3">
        <f>SUM(D:D)</f>
        <v>10447536600</v>
      </c>
      <c r="I373" s="4">
        <f>SUM(F:F)</f>
        <v>2099369250</v>
      </c>
      <c r="J373" s="4">
        <f>SUM(E:E)</f>
        <v>8348167350</v>
      </c>
      <c r="K373">
        <f>SUM(C:C)</f>
        <v>1017885</v>
      </c>
      <c r="L373">
        <f>MONTH(G:G)</f>
        <v>8</v>
      </c>
      <c r="M373">
        <f>YEAR(G:G)</f>
        <v>2025</v>
      </c>
    </row>
    <row r="374" spans="1:13" x14ac:dyDescent="0.25">
      <c r="A374" s="1" t="s">
        <v>18</v>
      </c>
      <c r="B374" s="1" t="s">
        <v>10</v>
      </c>
      <c r="C374">
        <v>635</v>
      </c>
      <c r="D374">
        <v>2222500</v>
      </c>
      <c r="E374">
        <v>1651000</v>
      </c>
      <c r="F374">
        <v>571500</v>
      </c>
      <c r="G374" s="2">
        <v>45889</v>
      </c>
      <c r="H374" s="3">
        <f>SUM(D:D)</f>
        <v>10447536600</v>
      </c>
      <c r="I374" s="4">
        <f>SUM(F:F)</f>
        <v>2099369250</v>
      </c>
      <c r="J374" s="4">
        <f>SUM(E:E)</f>
        <v>8348167350</v>
      </c>
      <c r="K374">
        <f>SUM(C:C)</f>
        <v>1017885</v>
      </c>
      <c r="L374">
        <f>MONTH(G:G)</f>
        <v>8</v>
      </c>
      <c r="M374">
        <f>YEAR(G:G)</f>
        <v>2025</v>
      </c>
    </row>
    <row r="375" spans="1:13" x14ac:dyDescent="0.25">
      <c r="A375" s="1" t="s">
        <v>21</v>
      </c>
      <c r="B375" s="1" t="s">
        <v>19</v>
      </c>
      <c r="C375">
        <v>765</v>
      </c>
      <c r="D375">
        <v>34425000</v>
      </c>
      <c r="E375">
        <v>29070000</v>
      </c>
      <c r="F375">
        <v>5355000</v>
      </c>
      <c r="G375" s="2">
        <v>45885</v>
      </c>
      <c r="H375" s="3">
        <f>SUM(D:D)</f>
        <v>10447536600</v>
      </c>
      <c r="I375" s="4">
        <f>SUM(F:F)</f>
        <v>2099369250</v>
      </c>
      <c r="J375" s="4">
        <f>SUM(E:E)</f>
        <v>8348167350</v>
      </c>
      <c r="K375">
        <f>SUM(C:C)</f>
        <v>1017885</v>
      </c>
      <c r="L375">
        <f>MONTH(G:G)</f>
        <v>8</v>
      </c>
      <c r="M375">
        <f>YEAR(G:G)</f>
        <v>2025</v>
      </c>
    </row>
    <row r="376" spans="1:13" x14ac:dyDescent="0.25">
      <c r="A376" s="1" t="s">
        <v>7</v>
      </c>
      <c r="B376" s="1" t="s">
        <v>23</v>
      </c>
      <c r="C376">
        <v>2845</v>
      </c>
      <c r="D376">
        <v>14225000</v>
      </c>
      <c r="E376">
        <v>11949000</v>
      </c>
      <c r="F376">
        <v>2276000</v>
      </c>
      <c r="G376" s="2">
        <v>45872</v>
      </c>
      <c r="H376" s="3">
        <f>SUM(D:D)</f>
        <v>10447536600</v>
      </c>
      <c r="I376" s="4">
        <f>SUM(F:F)</f>
        <v>2099369250</v>
      </c>
      <c r="J376" s="4">
        <f>SUM(E:E)</f>
        <v>8348167350</v>
      </c>
      <c r="K376">
        <f>SUM(C:C)</f>
        <v>1017885</v>
      </c>
      <c r="L376">
        <f>MONTH(G:G)</f>
        <v>8</v>
      </c>
      <c r="M376">
        <f>YEAR(G:G)</f>
        <v>2025</v>
      </c>
    </row>
    <row r="377" spans="1:13" x14ac:dyDescent="0.25">
      <c r="A377" s="1" t="s">
        <v>15</v>
      </c>
      <c r="B377" s="1" t="s">
        <v>19</v>
      </c>
      <c r="C377">
        <v>2986</v>
      </c>
      <c r="D377">
        <v>134370000</v>
      </c>
      <c r="E377">
        <v>113468000</v>
      </c>
      <c r="F377">
        <v>20902000</v>
      </c>
      <c r="G377" s="2">
        <v>45889</v>
      </c>
      <c r="H377" s="3">
        <f>SUM(D:D)</f>
        <v>10447536600</v>
      </c>
      <c r="I377" s="4">
        <f>SUM(F:F)</f>
        <v>2099369250</v>
      </c>
      <c r="J377" s="4">
        <f>SUM(E:E)</f>
        <v>8348167350</v>
      </c>
      <c r="K377">
        <f>SUM(C:C)</f>
        <v>1017885</v>
      </c>
      <c r="L377">
        <f>MONTH(G:G)</f>
        <v>8</v>
      </c>
      <c r="M377">
        <f>YEAR(G:G)</f>
        <v>2025</v>
      </c>
    </row>
    <row r="378" spans="1:13" x14ac:dyDescent="0.25">
      <c r="A378" s="1" t="s">
        <v>7</v>
      </c>
      <c r="B378" s="1" t="s">
        <v>12</v>
      </c>
      <c r="C378">
        <v>765</v>
      </c>
      <c r="D378">
        <v>918000</v>
      </c>
      <c r="E378">
        <v>650250</v>
      </c>
      <c r="F378">
        <v>267750</v>
      </c>
      <c r="G378" s="2">
        <v>45889</v>
      </c>
      <c r="H378" s="3">
        <f>SUM(D:D)</f>
        <v>10447536600</v>
      </c>
      <c r="I378" s="4">
        <f>SUM(F:F)</f>
        <v>2099369250</v>
      </c>
      <c r="J378" s="4">
        <f>SUM(E:E)</f>
        <v>8348167350</v>
      </c>
      <c r="K378">
        <f>SUM(C:C)</f>
        <v>1017885</v>
      </c>
      <c r="L378">
        <f>MONTH(G:G)</f>
        <v>8</v>
      </c>
      <c r="M378">
        <f>YEAR(G:G)</f>
        <v>2025</v>
      </c>
    </row>
    <row r="379" spans="1:13" x14ac:dyDescent="0.25">
      <c r="A379" s="1" t="s">
        <v>22</v>
      </c>
      <c r="B379" s="1" t="s">
        <v>23</v>
      </c>
      <c r="C379">
        <v>1763</v>
      </c>
      <c r="D379">
        <v>8815000</v>
      </c>
      <c r="E379">
        <v>7404600</v>
      </c>
      <c r="F379">
        <v>1410400</v>
      </c>
      <c r="G379" s="2">
        <v>45893</v>
      </c>
      <c r="H379" s="3">
        <f>SUM(D:D)</f>
        <v>10447536600</v>
      </c>
      <c r="I379" s="4">
        <f>SUM(F:F)</f>
        <v>2099369250</v>
      </c>
      <c r="J379" s="4">
        <f>SUM(E:E)</f>
        <v>8348167350</v>
      </c>
      <c r="K379">
        <f>SUM(C:C)</f>
        <v>1017885</v>
      </c>
      <c r="L379">
        <f>MONTH(G:G)</f>
        <v>8</v>
      </c>
      <c r="M379">
        <f>YEAR(G:G)</f>
        <v>2025</v>
      </c>
    </row>
    <row r="380" spans="1:13" x14ac:dyDescent="0.25">
      <c r="A380" s="1" t="s">
        <v>18</v>
      </c>
      <c r="B380" s="1" t="s">
        <v>12</v>
      </c>
      <c r="C380">
        <v>2104</v>
      </c>
      <c r="D380">
        <v>2524800</v>
      </c>
      <c r="E380">
        <v>1788400</v>
      </c>
      <c r="F380">
        <v>736400</v>
      </c>
      <c r="G380" s="2">
        <v>45878</v>
      </c>
      <c r="H380" s="3">
        <f>SUM(D:D)</f>
        <v>10447536600</v>
      </c>
      <c r="I380" s="4">
        <f>SUM(F:F)</f>
        <v>2099369250</v>
      </c>
      <c r="J380" s="4">
        <f>SUM(E:E)</f>
        <v>8348167350</v>
      </c>
      <c r="K380">
        <f>SUM(C:C)</f>
        <v>1017885</v>
      </c>
      <c r="L380">
        <f>MONTH(G:G)</f>
        <v>8</v>
      </c>
      <c r="M380">
        <f>YEAR(G:G)</f>
        <v>2025</v>
      </c>
    </row>
    <row r="381" spans="1:13" x14ac:dyDescent="0.25">
      <c r="A381" s="1" t="s">
        <v>22</v>
      </c>
      <c r="B381" s="1" t="s">
        <v>23</v>
      </c>
      <c r="C381">
        <v>1977</v>
      </c>
      <c r="D381">
        <v>9885000</v>
      </c>
      <c r="E381">
        <v>8303400</v>
      </c>
      <c r="F381">
        <v>1581600</v>
      </c>
      <c r="G381" s="2">
        <v>45874</v>
      </c>
      <c r="H381" s="3">
        <f>SUM(D:D)</f>
        <v>10447536600</v>
      </c>
      <c r="I381" s="4">
        <f>SUM(F:F)</f>
        <v>2099369250</v>
      </c>
      <c r="J381" s="4">
        <f>SUM(E:E)</f>
        <v>8348167350</v>
      </c>
      <c r="K381">
        <f>SUM(C:C)</f>
        <v>1017885</v>
      </c>
      <c r="L381">
        <f>MONTH(G:G)</f>
        <v>8</v>
      </c>
      <c r="M381">
        <f>YEAR(G:G)</f>
        <v>2025</v>
      </c>
    </row>
    <row r="382" spans="1:13" x14ac:dyDescent="0.25">
      <c r="A382" s="1" t="s">
        <v>22</v>
      </c>
      <c r="B382" s="1" t="s">
        <v>12</v>
      </c>
      <c r="C382">
        <v>1787</v>
      </c>
      <c r="D382">
        <v>2144400</v>
      </c>
      <c r="E382">
        <v>1518950</v>
      </c>
      <c r="F382">
        <v>625450</v>
      </c>
      <c r="G382" s="2">
        <v>45885</v>
      </c>
      <c r="H382" s="3">
        <f>SUM(D:D)</f>
        <v>10447536600</v>
      </c>
      <c r="I382" s="4">
        <f>SUM(F:F)</f>
        <v>2099369250</v>
      </c>
      <c r="J382" s="4">
        <f>SUM(E:E)</f>
        <v>8348167350</v>
      </c>
      <c r="K382">
        <f>SUM(C:C)</f>
        <v>1017885</v>
      </c>
      <c r="L382">
        <f>MONTH(G:G)</f>
        <v>8</v>
      </c>
      <c r="M382">
        <f>YEAR(G:G)</f>
        <v>2025</v>
      </c>
    </row>
    <row r="383" spans="1:13" x14ac:dyDescent="0.25">
      <c r="A383" s="1" t="s">
        <v>16</v>
      </c>
      <c r="B383" s="1" t="s">
        <v>23</v>
      </c>
      <c r="C383">
        <v>1847</v>
      </c>
      <c r="D383">
        <v>9235000</v>
      </c>
      <c r="E383">
        <v>7757400</v>
      </c>
      <c r="F383">
        <v>1477600</v>
      </c>
      <c r="G383" s="2">
        <v>45893</v>
      </c>
      <c r="H383" s="3">
        <f>SUM(D:D)</f>
        <v>10447536600</v>
      </c>
      <c r="I383" s="4">
        <f>SUM(F:F)</f>
        <v>2099369250</v>
      </c>
      <c r="J383" s="4">
        <f>SUM(E:E)</f>
        <v>8348167350</v>
      </c>
      <c r="K383">
        <f>SUM(C:C)</f>
        <v>1017885</v>
      </c>
      <c r="L383">
        <f>MONTH(G:G)</f>
        <v>8</v>
      </c>
      <c r="M383">
        <f>YEAR(G:G)</f>
        <v>2025</v>
      </c>
    </row>
    <row r="384" spans="1:13" x14ac:dyDescent="0.25">
      <c r="A384" s="1" t="s">
        <v>11</v>
      </c>
      <c r="B384" s="1" t="s">
        <v>10</v>
      </c>
      <c r="C384">
        <v>2197</v>
      </c>
      <c r="D384">
        <v>7689500</v>
      </c>
      <c r="E384">
        <v>5712200</v>
      </c>
      <c r="F384">
        <v>1977300</v>
      </c>
      <c r="G384" s="2">
        <v>45872</v>
      </c>
      <c r="H384" s="3">
        <f>SUM(D:D)</f>
        <v>10447536600</v>
      </c>
      <c r="I384" s="4">
        <f>SUM(F:F)</f>
        <v>2099369250</v>
      </c>
      <c r="J384" s="4">
        <f>SUM(E:E)</f>
        <v>8348167350</v>
      </c>
      <c r="K384">
        <f>SUM(C:C)</f>
        <v>1017885</v>
      </c>
      <c r="L384">
        <f>MONTH(G:G)</f>
        <v>8</v>
      </c>
      <c r="M384">
        <f>YEAR(G:G)</f>
        <v>2025</v>
      </c>
    </row>
    <row r="385" spans="1:13" x14ac:dyDescent="0.25">
      <c r="A385" s="1" t="s">
        <v>13</v>
      </c>
      <c r="B385" s="1" t="s">
        <v>12</v>
      </c>
      <c r="C385">
        <v>2096</v>
      </c>
      <c r="D385">
        <v>2515200</v>
      </c>
      <c r="E385">
        <v>1781600</v>
      </c>
      <c r="F385">
        <v>733600</v>
      </c>
      <c r="G385" s="2">
        <v>45873</v>
      </c>
      <c r="H385" s="3">
        <f>SUM(D:D)</f>
        <v>10447536600</v>
      </c>
      <c r="I385" s="4">
        <f>SUM(F:F)</f>
        <v>2099369250</v>
      </c>
      <c r="J385" s="4">
        <f>SUM(E:E)</f>
        <v>8348167350</v>
      </c>
      <c r="K385">
        <f>SUM(C:C)</f>
        <v>1017885</v>
      </c>
      <c r="L385">
        <f>MONTH(G:G)</f>
        <v>8</v>
      </c>
      <c r="M385">
        <f>YEAR(G:G)</f>
        <v>2025</v>
      </c>
    </row>
    <row r="386" spans="1:13" x14ac:dyDescent="0.25">
      <c r="A386" s="1" t="s">
        <v>15</v>
      </c>
      <c r="B386" s="1" t="s">
        <v>14</v>
      </c>
      <c r="C386">
        <v>1497</v>
      </c>
      <c r="D386">
        <v>1796400</v>
      </c>
      <c r="E386">
        <v>1197600</v>
      </c>
      <c r="F386">
        <v>598800</v>
      </c>
      <c r="G386" s="2">
        <v>45887</v>
      </c>
      <c r="H386" s="3">
        <f>SUM(D:D)</f>
        <v>10447536600</v>
      </c>
      <c r="I386" s="4">
        <f>SUM(F:F)</f>
        <v>2099369250</v>
      </c>
      <c r="J386" s="4">
        <f>SUM(E:E)</f>
        <v>8348167350</v>
      </c>
      <c r="K386">
        <f>SUM(C:C)</f>
        <v>1017885</v>
      </c>
      <c r="L386">
        <f>MONTH(G:G)</f>
        <v>8</v>
      </c>
      <c r="M386">
        <f>YEAR(G:G)</f>
        <v>2025</v>
      </c>
    </row>
    <row r="387" spans="1:13" x14ac:dyDescent="0.25">
      <c r="A387" s="1" t="s">
        <v>18</v>
      </c>
      <c r="B387" s="1" t="s">
        <v>17</v>
      </c>
      <c r="C387">
        <v>1897</v>
      </c>
      <c r="D387">
        <v>28455000</v>
      </c>
      <c r="E387">
        <v>20867000</v>
      </c>
      <c r="F387">
        <v>7588000</v>
      </c>
      <c r="G387" s="2">
        <v>45889</v>
      </c>
      <c r="H387" s="3">
        <f>SUM(D:D)</f>
        <v>10447536600</v>
      </c>
      <c r="I387" s="4">
        <f>SUM(F:F)</f>
        <v>2099369250</v>
      </c>
      <c r="J387" s="4">
        <f>SUM(E:E)</f>
        <v>8348167350</v>
      </c>
      <c r="K387">
        <f>SUM(C:C)</f>
        <v>1017885</v>
      </c>
      <c r="L387">
        <f>MONTH(G:G)</f>
        <v>8</v>
      </c>
      <c r="M387">
        <f>YEAR(G:G)</f>
        <v>2025</v>
      </c>
    </row>
    <row r="388" spans="1:13" x14ac:dyDescent="0.25">
      <c r="A388" s="1" t="s">
        <v>21</v>
      </c>
      <c r="B388" s="1" t="s">
        <v>19</v>
      </c>
      <c r="C388">
        <v>1792</v>
      </c>
      <c r="D388">
        <v>80640000</v>
      </c>
      <c r="E388">
        <v>68096000</v>
      </c>
      <c r="F388">
        <v>12544000</v>
      </c>
      <c r="G388" s="2">
        <v>45884</v>
      </c>
      <c r="H388" s="3">
        <f>SUM(D:D)</f>
        <v>10447536600</v>
      </c>
      <c r="I388" s="4">
        <f>SUM(F:F)</f>
        <v>2099369250</v>
      </c>
      <c r="J388" s="4">
        <f>SUM(E:E)</f>
        <v>8348167350</v>
      </c>
      <c r="K388">
        <f>SUM(C:C)</f>
        <v>1017885</v>
      </c>
      <c r="L388">
        <f>MONTH(G:G)</f>
        <v>8</v>
      </c>
      <c r="M388">
        <f>YEAR(G:G)</f>
        <v>2025</v>
      </c>
    </row>
    <row r="389" spans="1:13" x14ac:dyDescent="0.25">
      <c r="A389" s="1" t="s">
        <v>7</v>
      </c>
      <c r="B389" s="1" t="s">
        <v>14</v>
      </c>
      <c r="C389">
        <v>1058</v>
      </c>
      <c r="D389">
        <v>1269600</v>
      </c>
      <c r="E389">
        <v>846400</v>
      </c>
      <c r="F389">
        <v>423200</v>
      </c>
      <c r="G389" s="2">
        <v>45879</v>
      </c>
      <c r="H389" s="3">
        <f>SUM(D:D)</f>
        <v>10447536600</v>
      </c>
      <c r="I389" s="4">
        <f>SUM(F:F)</f>
        <v>2099369250</v>
      </c>
      <c r="J389" s="4">
        <f>SUM(E:E)</f>
        <v>8348167350</v>
      </c>
      <c r="K389">
        <f>SUM(C:C)</f>
        <v>1017885</v>
      </c>
      <c r="L389">
        <f>MONTH(G:G)</f>
        <v>8</v>
      </c>
      <c r="M389">
        <f>YEAR(G:G)</f>
        <v>2025</v>
      </c>
    </row>
    <row r="390" spans="1:13" x14ac:dyDescent="0.25">
      <c r="A390" s="1" t="s">
        <v>15</v>
      </c>
      <c r="B390" s="1" t="s">
        <v>8</v>
      </c>
      <c r="C390">
        <v>1711</v>
      </c>
      <c r="D390">
        <v>5133000</v>
      </c>
      <c r="E390">
        <v>3079800</v>
      </c>
      <c r="F390">
        <v>2053200</v>
      </c>
      <c r="G390" s="2">
        <v>45895</v>
      </c>
      <c r="H390" s="3">
        <f>SUM(D:D)</f>
        <v>10447536600</v>
      </c>
      <c r="I390" s="4">
        <f>SUM(F:F)</f>
        <v>2099369250</v>
      </c>
      <c r="J390" s="4">
        <f>SUM(E:E)</f>
        <v>8348167350</v>
      </c>
      <c r="K390">
        <f>SUM(C:C)</f>
        <v>1017885</v>
      </c>
      <c r="L390">
        <f>MONTH(G:G)</f>
        <v>8</v>
      </c>
      <c r="M390">
        <f>YEAR(G:G)</f>
        <v>2025</v>
      </c>
    </row>
    <row r="391" spans="1:13" x14ac:dyDescent="0.25">
      <c r="A391" s="1" t="s">
        <v>20</v>
      </c>
      <c r="B391" s="1" t="s">
        <v>12</v>
      </c>
      <c r="C391">
        <v>566</v>
      </c>
      <c r="D391">
        <v>679200</v>
      </c>
      <c r="E391">
        <v>481100</v>
      </c>
      <c r="F391">
        <v>198100</v>
      </c>
      <c r="G391" s="2">
        <v>45892</v>
      </c>
      <c r="H391" s="3">
        <f>SUM(D:D)</f>
        <v>10447536600</v>
      </c>
      <c r="I391" s="4">
        <f>SUM(F:F)</f>
        <v>2099369250</v>
      </c>
      <c r="J391" s="4">
        <f>SUM(E:E)</f>
        <v>8348167350</v>
      </c>
      <c r="K391">
        <f>SUM(C:C)</f>
        <v>1017885</v>
      </c>
      <c r="L391">
        <f>MONTH(G:G)</f>
        <v>8</v>
      </c>
      <c r="M391">
        <f>YEAR(G:G)</f>
        <v>2025</v>
      </c>
    </row>
    <row r="392" spans="1:13" x14ac:dyDescent="0.25">
      <c r="A392" s="1" t="s">
        <v>20</v>
      </c>
      <c r="B392" s="1" t="s">
        <v>12</v>
      </c>
      <c r="C392">
        <v>1508</v>
      </c>
      <c r="D392">
        <v>1809600</v>
      </c>
      <c r="E392">
        <v>1281800</v>
      </c>
      <c r="F392">
        <v>527800</v>
      </c>
      <c r="G392" s="2">
        <v>45920</v>
      </c>
      <c r="H392" s="3">
        <f>SUM(D:D)</f>
        <v>10447536600</v>
      </c>
      <c r="I392" s="4">
        <f>SUM(F:F)</f>
        <v>2099369250</v>
      </c>
      <c r="J392" s="4">
        <f>SUM(E:E)</f>
        <v>8348167350</v>
      </c>
      <c r="K392">
        <f>SUM(C:C)</f>
        <v>1017885</v>
      </c>
      <c r="L392">
        <f>MONTH(G:G)</f>
        <v>9</v>
      </c>
      <c r="M392">
        <f>YEAR(G:G)</f>
        <v>2025</v>
      </c>
    </row>
    <row r="393" spans="1:13" x14ac:dyDescent="0.25">
      <c r="A393" s="1" t="s">
        <v>22</v>
      </c>
      <c r="B393" s="1" t="s">
        <v>23</v>
      </c>
      <c r="C393">
        <v>1800</v>
      </c>
      <c r="D393">
        <v>9000000</v>
      </c>
      <c r="E393">
        <v>7560000</v>
      </c>
      <c r="F393">
        <v>1440000</v>
      </c>
      <c r="G393" s="2">
        <v>45910</v>
      </c>
      <c r="H393" s="3">
        <f>SUM(D:D)</f>
        <v>10447536600</v>
      </c>
      <c r="I393" s="4">
        <f>SUM(F:F)</f>
        <v>2099369250</v>
      </c>
      <c r="J393" s="4">
        <f>SUM(E:E)</f>
        <v>8348167350</v>
      </c>
      <c r="K393">
        <f>SUM(C:C)</f>
        <v>1017885</v>
      </c>
      <c r="L393">
        <f>MONTH(G:G)</f>
        <v>9</v>
      </c>
      <c r="M393">
        <f>YEAR(G:G)</f>
        <v>2025</v>
      </c>
    </row>
    <row r="394" spans="1:13" x14ac:dyDescent="0.25">
      <c r="A394" s="1" t="s">
        <v>16</v>
      </c>
      <c r="B394" s="1" t="s">
        <v>17</v>
      </c>
      <c r="C394">
        <v>1964</v>
      </c>
      <c r="D394">
        <v>29460000</v>
      </c>
      <c r="E394">
        <v>21604000</v>
      </c>
      <c r="F394">
        <v>7856000</v>
      </c>
      <c r="G394" s="2">
        <v>45922</v>
      </c>
      <c r="H394" s="3">
        <f>SUM(D:D)</f>
        <v>10447536600</v>
      </c>
      <c r="I394" s="4">
        <f>SUM(F:F)</f>
        <v>2099369250</v>
      </c>
      <c r="J394" s="4">
        <f>SUM(E:E)</f>
        <v>8348167350</v>
      </c>
      <c r="K394">
        <f>SUM(C:C)</f>
        <v>1017885</v>
      </c>
      <c r="L394">
        <f>MONTH(G:G)</f>
        <v>9</v>
      </c>
      <c r="M394">
        <f>YEAR(G:G)</f>
        <v>2025</v>
      </c>
    </row>
    <row r="395" spans="1:13" x14ac:dyDescent="0.25">
      <c r="A395" s="1" t="s">
        <v>22</v>
      </c>
      <c r="B395" s="1" t="s">
        <v>12</v>
      </c>
      <c r="C395">
        <v>315</v>
      </c>
      <c r="D395">
        <v>378000</v>
      </c>
      <c r="E395">
        <v>267750</v>
      </c>
      <c r="F395">
        <v>110250</v>
      </c>
      <c r="G395" s="2">
        <v>45928</v>
      </c>
      <c r="H395" s="3">
        <f>SUM(D:D)</f>
        <v>10447536600</v>
      </c>
      <c r="I395" s="4">
        <f>SUM(F:F)</f>
        <v>2099369250</v>
      </c>
      <c r="J395" s="4">
        <f>SUM(E:E)</f>
        <v>8348167350</v>
      </c>
      <c r="K395">
        <f>SUM(C:C)</f>
        <v>1017885</v>
      </c>
      <c r="L395">
        <f>MONTH(G:G)</f>
        <v>9</v>
      </c>
      <c r="M395">
        <f>YEAR(G:G)</f>
        <v>2025</v>
      </c>
    </row>
    <row r="396" spans="1:13" x14ac:dyDescent="0.25">
      <c r="A396" s="1" t="s">
        <v>11</v>
      </c>
      <c r="B396" s="1" t="s">
        <v>14</v>
      </c>
      <c r="C396">
        <v>425</v>
      </c>
      <c r="D396">
        <v>510000</v>
      </c>
      <c r="E396">
        <v>340000</v>
      </c>
      <c r="F396">
        <v>170000</v>
      </c>
      <c r="G396" s="2">
        <v>45912</v>
      </c>
      <c r="H396" s="3">
        <f>SUM(D:D)</f>
        <v>10447536600</v>
      </c>
      <c r="I396" s="4">
        <f>SUM(F:F)</f>
        <v>2099369250</v>
      </c>
      <c r="J396" s="4">
        <f>SUM(E:E)</f>
        <v>8348167350</v>
      </c>
      <c r="K396">
        <f>SUM(C:C)</f>
        <v>1017885</v>
      </c>
      <c r="L396">
        <f>MONTH(G:G)</f>
        <v>9</v>
      </c>
      <c r="M396">
        <f>YEAR(G:G)</f>
        <v>2025</v>
      </c>
    </row>
    <row r="397" spans="1:13" x14ac:dyDescent="0.25">
      <c r="A397" s="1" t="s">
        <v>18</v>
      </c>
      <c r="B397" s="1" t="s">
        <v>19</v>
      </c>
      <c r="C397">
        <v>2661</v>
      </c>
      <c r="D397">
        <v>119745000</v>
      </c>
      <c r="E397">
        <v>101118000</v>
      </c>
      <c r="F397">
        <v>18627000</v>
      </c>
      <c r="G397" s="2">
        <v>45905</v>
      </c>
      <c r="H397" s="3">
        <f>SUM(D:D)</f>
        <v>10447536600</v>
      </c>
      <c r="I397" s="4">
        <f>SUM(F:F)</f>
        <v>2099369250</v>
      </c>
      <c r="J397" s="4">
        <f>SUM(E:E)</f>
        <v>8348167350</v>
      </c>
      <c r="K397">
        <f>SUM(C:C)</f>
        <v>1017885</v>
      </c>
      <c r="L397">
        <f>MONTH(G:G)</f>
        <v>9</v>
      </c>
      <c r="M397">
        <f>YEAR(G:G)</f>
        <v>2025</v>
      </c>
    </row>
    <row r="398" spans="1:13" x14ac:dyDescent="0.25">
      <c r="A398" s="1" t="s">
        <v>18</v>
      </c>
      <c r="B398" s="1" t="s">
        <v>10</v>
      </c>
      <c r="C398">
        <v>2315</v>
      </c>
      <c r="D398">
        <v>8102500</v>
      </c>
      <c r="E398">
        <v>6019000</v>
      </c>
      <c r="F398">
        <v>2083500</v>
      </c>
      <c r="G398" s="2">
        <v>45909</v>
      </c>
      <c r="H398" s="3">
        <f>SUM(D:D)</f>
        <v>10447536600</v>
      </c>
      <c r="I398" s="4">
        <f>SUM(F:F)</f>
        <v>2099369250</v>
      </c>
      <c r="J398" s="4">
        <f>SUM(E:E)</f>
        <v>8348167350</v>
      </c>
      <c r="K398">
        <f>SUM(C:C)</f>
        <v>1017885</v>
      </c>
      <c r="L398">
        <f>MONTH(G:G)</f>
        <v>9</v>
      </c>
      <c r="M398">
        <f>YEAR(G:G)</f>
        <v>2025</v>
      </c>
    </row>
    <row r="399" spans="1:13" x14ac:dyDescent="0.25">
      <c r="A399" s="1" t="s">
        <v>7</v>
      </c>
      <c r="B399" s="1" t="s">
        <v>10</v>
      </c>
      <c r="C399">
        <v>2603</v>
      </c>
      <c r="D399">
        <v>9110500</v>
      </c>
      <c r="E399">
        <v>6767800</v>
      </c>
      <c r="F399">
        <v>2342700</v>
      </c>
      <c r="G399" s="2">
        <v>45924</v>
      </c>
      <c r="H399" s="3">
        <f>SUM(D:D)</f>
        <v>10447536600</v>
      </c>
      <c r="I399" s="4">
        <f>SUM(F:F)</f>
        <v>2099369250</v>
      </c>
      <c r="J399" s="4">
        <f>SUM(E:E)</f>
        <v>8348167350</v>
      </c>
      <c r="K399">
        <f>SUM(C:C)</f>
        <v>1017885</v>
      </c>
      <c r="L399">
        <f>MONTH(G:G)</f>
        <v>9</v>
      </c>
      <c r="M399">
        <f>YEAR(G:G)</f>
        <v>2025</v>
      </c>
    </row>
    <row r="400" spans="1:13" x14ac:dyDescent="0.25">
      <c r="A400" s="1" t="s">
        <v>18</v>
      </c>
      <c r="B400" s="1" t="s">
        <v>23</v>
      </c>
      <c r="C400">
        <v>1963</v>
      </c>
      <c r="D400">
        <v>9815000</v>
      </c>
      <c r="E400">
        <v>8244600</v>
      </c>
      <c r="F400">
        <v>1570400</v>
      </c>
      <c r="G400" s="2">
        <v>45918</v>
      </c>
      <c r="H400" s="3">
        <f>SUM(D:D)</f>
        <v>10447536600</v>
      </c>
      <c r="I400" s="4">
        <f>SUM(F:F)</f>
        <v>2099369250</v>
      </c>
      <c r="J400" s="4">
        <f>SUM(E:E)</f>
        <v>8348167350</v>
      </c>
      <c r="K400">
        <f>SUM(C:C)</f>
        <v>1017885</v>
      </c>
      <c r="L400">
        <f>MONTH(G:G)</f>
        <v>9</v>
      </c>
      <c r="M400">
        <f>YEAR(G:G)</f>
        <v>2025</v>
      </c>
    </row>
    <row r="401" spans="1:13" x14ac:dyDescent="0.25">
      <c r="A401" s="1" t="s">
        <v>21</v>
      </c>
      <c r="B401" s="1" t="s">
        <v>12</v>
      </c>
      <c r="C401">
        <v>1826</v>
      </c>
      <c r="D401">
        <v>2191200</v>
      </c>
      <c r="E401">
        <v>1552100</v>
      </c>
      <c r="F401">
        <v>639100</v>
      </c>
      <c r="G401" s="2">
        <v>45921</v>
      </c>
      <c r="H401" s="3">
        <f>SUM(D:D)</f>
        <v>10447536600</v>
      </c>
      <c r="I401" s="4">
        <f>SUM(F:F)</f>
        <v>2099369250</v>
      </c>
      <c r="J401" s="4">
        <f>SUM(E:E)</f>
        <v>8348167350</v>
      </c>
      <c r="K401">
        <f>SUM(C:C)</f>
        <v>1017885</v>
      </c>
      <c r="L401">
        <f>MONTH(G:G)</f>
        <v>9</v>
      </c>
      <c r="M401">
        <f>YEAR(G:G)</f>
        <v>2025</v>
      </c>
    </row>
    <row r="402" spans="1:13" x14ac:dyDescent="0.25">
      <c r="A402" s="1" t="s">
        <v>7</v>
      </c>
      <c r="B402" s="1" t="s">
        <v>12</v>
      </c>
      <c r="C402">
        <v>2403</v>
      </c>
      <c r="D402">
        <v>2883600</v>
      </c>
      <c r="E402">
        <v>2042550</v>
      </c>
      <c r="F402">
        <v>841050</v>
      </c>
      <c r="G402" s="2">
        <v>45920</v>
      </c>
      <c r="H402" s="3">
        <f>SUM(D:D)</f>
        <v>10447536600</v>
      </c>
      <c r="I402" s="4">
        <f>SUM(F:F)</f>
        <v>2099369250</v>
      </c>
      <c r="J402" s="4">
        <f>SUM(E:E)</f>
        <v>8348167350</v>
      </c>
      <c r="K402">
        <f>SUM(C:C)</f>
        <v>1017885</v>
      </c>
      <c r="L402">
        <f>MONTH(G:G)</f>
        <v>9</v>
      </c>
      <c r="M402">
        <f>YEAR(G:G)</f>
        <v>2025</v>
      </c>
    </row>
    <row r="403" spans="1:13" x14ac:dyDescent="0.25">
      <c r="A403" s="1" t="s">
        <v>9</v>
      </c>
      <c r="B403" s="1" t="s">
        <v>23</v>
      </c>
      <c r="C403">
        <v>334</v>
      </c>
      <c r="D403">
        <v>1670000</v>
      </c>
      <c r="E403">
        <v>1402800</v>
      </c>
      <c r="F403">
        <v>267200</v>
      </c>
      <c r="G403" s="2">
        <v>45915</v>
      </c>
      <c r="H403" s="3">
        <f>SUM(D:D)</f>
        <v>10447536600</v>
      </c>
      <c r="I403" s="4">
        <f>SUM(F:F)</f>
        <v>2099369250</v>
      </c>
      <c r="J403" s="4">
        <f>SUM(E:E)</f>
        <v>8348167350</v>
      </c>
      <c r="K403">
        <f>SUM(C:C)</f>
        <v>1017885</v>
      </c>
      <c r="L403">
        <f>MONTH(G:G)</f>
        <v>9</v>
      </c>
      <c r="M403">
        <f>YEAR(G:G)</f>
        <v>2025</v>
      </c>
    </row>
    <row r="404" spans="1:13" x14ac:dyDescent="0.25">
      <c r="A404" s="1" t="s">
        <v>7</v>
      </c>
      <c r="B404" s="1" t="s">
        <v>23</v>
      </c>
      <c r="C404">
        <v>1080</v>
      </c>
      <c r="D404">
        <v>5400000</v>
      </c>
      <c r="E404">
        <v>4536000</v>
      </c>
      <c r="F404">
        <v>864000</v>
      </c>
      <c r="G404" s="2">
        <v>45916</v>
      </c>
      <c r="H404" s="3">
        <f>SUM(D:D)</f>
        <v>10447536600</v>
      </c>
      <c r="I404" s="4">
        <f>SUM(F:F)</f>
        <v>2099369250</v>
      </c>
      <c r="J404" s="4">
        <f>SUM(E:E)</f>
        <v>8348167350</v>
      </c>
      <c r="K404">
        <f>SUM(C:C)</f>
        <v>1017885</v>
      </c>
      <c r="L404">
        <f>MONTH(G:G)</f>
        <v>9</v>
      </c>
      <c r="M404">
        <f>YEAR(G:G)</f>
        <v>2025</v>
      </c>
    </row>
    <row r="405" spans="1:13" x14ac:dyDescent="0.25">
      <c r="A405" s="1" t="s">
        <v>13</v>
      </c>
      <c r="B405" s="1" t="s">
        <v>10</v>
      </c>
      <c r="C405">
        <v>2431</v>
      </c>
      <c r="D405">
        <v>8508500</v>
      </c>
      <c r="E405">
        <v>6320600</v>
      </c>
      <c r="F405">
        <v>2187900</v>
      </c>
      <c r="G405" s="2">
        <v>45929</v>
      </c>
      <c r="H405" s="3">
        <f>SUM(D:D)</f>
        <v>10447536600</v>
      </c>
      <c r="I405" s="4">
        <f>SUM(F:F)</f>
        <v>2099369250</v>
      </c>
      <c r="J405" s="4">
        <f>SUM(E:E)</f>
        <v>8348167350</v>
      </c>
      <c r="K405">
        <f>SUM(C:C)</f>
        <v>1017885</v>
      </c>
      <c r="L405">
        <f>MONTH(G:G)</f>
        <v>9</v>
      </c>
      <c r="M405">
        <f>YEAR(G:G)</f>
        <v>2025</v>
      </c>
    </row>
    <row r="406" spans="1:13" x14ac:dyDescent="0.25">
      <c r="A406" s="1" t="s">
        <v>16</v>
      </c>
      <c r="B406" s="1" t="s">
        <v>8</v>
      </c>
      <c r="C406">
        <v>2415</v>
      </c>
      <c r="D406">
        <v>7245000</v>
      </c>
      <c r="E406">
        <v>4347000</v>
      </c>
      <c r="F406">
        <v>2898000</v>
      </c>
      <c r="G406" s="2">
        <v>45903</v>
      </c>
      <c r="H406" s="3">
        <f>SUM(D:D)</f>
        <v>10447536600</v>
      </c>
      <c r="I406" s="4">
        <f>SUM(F:F)</f>
        <v>2099369250</v>
      </c>
      <c r="J406" s="4">
        <f>SUM(E:E)</f>
        <v>8348167350</v>
      </c>
      <c r="K406">
        <f>SUM(C:C)</f>
        <v>1017885</v>
      </c>
      <c r="L406">
        <f>MONTH(G:G)</f>
        <v>9</v>
      </c>
      <c r="M406">
        <f>YEAR(G:G)</f>
        <v>2025</v>
      </c>
    </row>
    <row r="407" spans="1:13" x14ac:dyDescent="0.25">
      <c r="A407" s="1" t="s">
        <v>18</v>
      </c>
      <c r="B407" s="1" t="s">
        <v>12</v>
      </c>
      <c r="C407">
        <v>179</v>
      </c>
      <c r="D407">
        <v>214800</v>
      </c>
      <c r="E407">
        <v>152150</v>
      </c>
      <c r="F407">
        <v>62650</v>
      </c>
      <c r="G407" s="2">
        <v>45909</v>
      </c>
      <c r="H407" s="3">
        <f>SUM(D:D)</f>
        <v>10447536600</v>
      </c>
      <c r="I407" s="4">
        <f>SUM(F:F)</f>
        <v>2099369250</v>
      </c>
      <c r="J407" s="4">
        <f>SUM(E:E)</f>
        <v>8348167350</v>
      </c>
      <c r="K407">
        <f>SUM(C:C)</f>
        <v>1017885</v>
      </c>
      <c r="L407">
        <f>MONTH(G:G)</f>
        <v>9</v>
      </c>
      <c r="M407">
        <f>YEAR(G:G)</f>
        <v>2025</v>
      </c>
    </row>
    <row r="408" spans="1:13" x14ac:dyDescent="0.25">
      <c r="A408" s="1" t="s">
        <v>11</v>
      </c>
      <c r="B408" s="1" t="s">
        <v>19</v>
      </c>
      <c r="C408">
        <v>2163</v>
      </c>
      <c r="D408">
        <v>97335000</v>
      </c>
      <c r="E408">
        <v>82194000</v>
      </c>
      <c r="F408">
        <v>15141000</v>
      </c>
      <c r="G408" s="2">
        <v>45923</v>
      </c>
      <c r="H408" s="3">
        <f>SUM(D:D)</f>
        <v>10447536600</v>
      </c>
      <c r="I408" s="4">
        <f>SUM(F:F)</f>
        <v>2099369250</v>
      </c>
      <c r="J408" s="4">
        <f>SUM(E:E)</f>
        <v>8348167350</v>
      </c>
      <c r="K408">
        <f>SUM(C:C)</f>
        <v>1017885</v>
      </c>
      <c r="L408">
        <f>MONTH(G:G)</f>
        <v>9</v>
      </c>
      <c r="M408">
        <f>YEAR(G:G)</f>
        <v>2025</v>
      </c>
    </row>
    <row r="409" spans="1:13" x14ac:dyDescent="0.25">
      <c r="A409" s="1" t="s">
        <v>13</v>
      </c>
      <c r="B409" s="1" t="s">
        <v>12</v>
      </c>
      <c r="C409">
        <v>2689</v>
      </c>
      <c r="D409">
        <v>3226800</v>
      </c>
      <c r="E409">
        <v>2285650</v>
      </c>
      <c r="F409">
        <v>941150</v>
      </c>
      <c r="G409" s="2">
        <v>45930</v>
      </c>
      <c r="H409" s="3">
        <f>SUM(D:D)</f>
        <v>10447536600</v>
      </c>
      <c r="I409" s="4">
        <f>SUM(F:F)</f>
        <v>2099369250</v>
      </c>
      <c r="J409" s="4">
        <f>SUM(E:E)</f>
        <v>8348167350</v>
      </c>
      <c r="K409">
        <f>SUM(C:C)</f>
        <v>1017885</v>
      </c>
      <c r="L409">
        <f>MONTH(G:G)</f>
        <v>9</v>
      </c>
      <c r="M409">
        <f>YEAR(G:G)</f>
        <v>2025</v>
      </c>
    </row>
    <row r="410" spans="1:13" x14ac:dyDescent="0.25">
      <c r="A410" s="1" t="s">
        <v>20</v>
      </c>
      <c r="B410" s="1" t="s">
        <v>17</v>
      </c>
      <c r="C410">
        <v>2070</v>
      </c>
      <c r="D410">
        <v>31050000</v>
      </c>
      <c r="E410">
        <v>22770000</v>
      </c>
      <c r="F410">
        <v>8280000</v>
      </c>
      <c r="G410" s="2">
        <v>45920</v>
      </c>
      <c r="H410" s="3">
        <f>SUM(D:D)</f>
        <v>10447536600</v>
      </c>
      <c r="I410" s="4">
        <f>SUM(F:F)</f>
        <v>2099369250</v>
      </c>
      <c r="J410" s="4">
        <f>SUM(E:E)</f>
        <v>8348167350</v>
      </c>
      <c r="K410">
        <f>SUM(C:C)</f>
        <v>1017885</v>
      </c>
      <c r="L410">
        <f>MONTH(G:G)</f>
        <v>9</v>
      </c>
      <c r="M410">
        <f>YEAR(G:G)</f>
        <v>2025</v>
      </c>
    </row>
    <row r="411" spans="1:13" x14ac:dyDescent="0.25">
      <c r="A411" s="1" t="s">
        <v>21</v>
      </c>
      <c r="B411" s="1" t="s">
        <v>12</v>
      </c>
      <c r="C411">
        <v>1093</v>
      </c>
      <c r="D411">
        <v>1311600</v>
      </c>
      <c r="E411">
        <v>929050</v>
      </c>
      <c r="F411">
        <v>382550</v>
      </c>
      <c r="G411" s="2">
        <v>45901</v>
      </c>
      <c r="H411" s="3">
        <f>SUM(D:D)</f>
        <v>10447536600</v>
      </c>
      <c r="I411" s="4">
        <f>SUM(F:F)</f>
        <v>2099369250</v>
      </c>
      <c r="J411" s="4">
        <f>SUM(E:E)</f>
        <v>8348167350</v>
      </c>
      <c r="K411">
        <f>SUM(C:C)</f>
        <v>1017885</v>
      </c>
      <c r="L411">
        <f>MONTH(G:G)</f>
        <v>9</v>
      </c>
      <c r="M411">
        <f>YEAR(G:G)</f>
        <v>2025</v>
      </c>
    </row>
    <row r="412" spans="1:13" x14ac:dyDescent="0.25">
      <c r="A412" s="1" t="s">
        <v>13</v>
      </c>
      <c r="B412" s="1" t="s">
        <v>10</v>
      </c>
      <c r="C412">
        <v>1234</v>
      </c>
      <c r="D412">
        <v>4319000</v>
      </c>
      <c r="E412">
        <v>3208400</v>
      </c>
      <c r="F412">
        <v>1110600</v>
      </c>
      <c r="G412" s="2">
        <v>45928</v>
      </c>
      <c r="H412" s="3">
        <f>SUM(D:D)</f>
        <v>10447536600</v>
      </c>
      <c r="I412" s="4">
        <f>SUM(F:F)</f>
        <v>2099369250</v>
      </c>
      <c r="J412" s="4">
        <f>SUM(E:E)</f>
        <v>8348167350</v>
      </c>
      <c r="K412">
        <f>SUM(C:C)</f>
        <v>1017885</v>
      </c>
      <c r="L412">
        <f>MONTH(G:G)</f>
        <v>9</v>
      </c>
      <c r="M412">
        <f>YEAR(G:G)</f>
        <v>2025</v>
      </c>
    </row>
    <row r="413" spans="1:13" x14ac:dyDescent="0.25">
      <c r="A413" s="1" t="s">
        <v>13</v>
      </c>
      <c r="B413" s="1" t="s">
        <v>12</v>
      </c>
      <c r="C413">
        <v>1085</v>
      </c>
      <c r="D413">
        <v>1302000</v>
      </c>
      <c r="E413">
        <v>922250</v>
      </c>
      <c r="F413">
        <v>379750</v>
      </c>
      <c r="G413" s="2">
        <v>45902</v>
      </c>
      <c r="H413" s="3">
        <f>SUM(D:D)</f>
        <v>10447536600</v>
      </c>
      <c r="I413" s="4">
        <f>SUM(F:F)</f>
        <v>2099369250</v>
      </c>
      <c r="J413" s="4">
        <f>SUM(E:E)</f>
        <v>8348167350</v>
      </c>
      <c r="K413">
        <f>SUM(C:C)</f>
        <v>1017885</v>
      </c>
      <c r="L413">
        <f>MONTH(G:G)</f>
        <v>9</v>
      </c>
      <c r="M413">
        <f>YEAR(G:G)</f>
        <v>2025</v>
      </c>
    </row>
    <row r="414" spans="1:13" x14ac:dyDescent="0.25">
      <c r="A414" s="1" t="s">
        <v>15</v>
      </c>
      <c r="B414" s="1" t="s">
        <v>19</v>
      </c>
      <c r="C414">
        <v>2481</v>
      </c>
      <c r="D414">
        <v>111645000</v>
      </c>
      <c r="E414">
        <v>94278000</v>
      </c>
      <c r="F414">
        <v>17367000</v>
      </c>
      <c r="G414" s="2">
        <v>45919</v>
      </c>
      <c r="H414" s="3">
        <f>SUM(D:D)</f>
        <v>10447536600</v>
      </c>
      <c r="I414" s="4">
        <f>SUM(F:F)</f>
        <v>2099369250</v>
      </c>
      <c r="J414" s="4">
        <f>SUM(E:E)</f>
        <v>8348167350</v>
      </c>
      <c r="K414">
        <f>SUM(C:C)</f>
        <v>1017885</v>
      </c>
      <c r="L414">
        <f>MONTH(G:G)</f>
        <v>9</v>
      </c>
      <c r="M414">
        <f>YEAR(G:G)</f>
        <v>2025</v>
      </c>
    </row>
    <row r="415" spans="1:13" x14ac:dyDescent="0.25">
      <c r="A415" s="1" t="s">
        <v>11</v>
      </c>
      <c r="B415" s="1" t="s">
        <v>19</v>
      </c>
      <c r="C415">
        <v>151</v>
      </c>
      <c r="D415">
        <v>6795000</v>
      </c>
      <c r="E415">
        <v>5738000</v>
      </c>
      <c r="F415">
        <v>1057000</v>
      </c>
      <c r="G415" s="2">
        <v>45956</v>
      </c>
      <c r="H415" s="3">
        <f>SUM(D:D)</f>
        <v>10447536600</v>
      </c>
      <c r="I415" s="4">
        <f>SUM(F:F)</f>
        <v>2099369250</v>
      </c>
      <c r="J415" s="4">
        <f>SUM(E:E)</f>
        <v>8348167350</v>
      </c>
      <c r="K415">
        <f>SUM(C:C)</f>
        <v>1017885</v>
      </c>
      <c r="L415">
        <f>MONTH(G:G)</f>
        <v>10</v>
      </c>
      <c r="M415">
        <f>YEAR(G:G)</f>
        <v>2025</v>
      </c>
    </row>
    <row r="416" spans="1:13" x14ac:dyDescent="0.25">
      <c r="A416" s="1" t="s">
        <v>11</v>
      </c>
      <c r="B416" s="1" t="s">
        <v>8</v>
      </c>
      <c r="C416">
        <v>678</v>
      </c>
      <c r="D416">
        <v>2034000</v>
      </c>
      <c r="E416">
        <v>1220400</v>
      </c>
      <c r="F416">
        <v>813600</v>
      </c>
      <c r="G416" s="2">
        <v>45961</v>
      </c>
      <c r="H416" s="3">
        <f>SUM(D:D)</f>
        <v>10447536600</v>
      </c>
      <c r="I416" s="4">
        <f>SUM(F:F)</f>
        <v>2099369250</v>
      </c>
      <c r="J416" s="4">
        <f>SUM(E:E)</f>
        <v>8348167350</v>
      </c>
      <c r="K416">
        <f>SUM(C:C)</f>
        <v>1017885</v>
      </c>
      <c r="L416">
        <f>MONTH(G:G)</f>
        <v>10</v>
      </c>
      <c r="M416">
        <f>YEAR(G:G)</f>
        <v>2025</v>
      </c>
    </row>
    <row r="417" spans="1:13" x14ac:dyDescent="0.25">
      <c r="A417" s="1" t="s">
        <v>21</v>
      </c>
      <c r="B417" s="1" t="s">
        <v>8</v>
      </c>
      <c r="C417">
        <v>2785</v>
      </c>
      <c r="D417">
        <v>8355000</v>
      </c>
      <c r="E417">
        <v>5013000</v>
      </c>
      <c r="F417">
        <v>3342000</v>
      </c>
      <c r="G417" s="2">
        <v>45935</v>
      </c>
      <c r="H417" s="3">
        <f>SUM(D:D)</f>
        <v>10447536600</v>
      </c>
      <c r="I417" s="4">
        <f>SUM(F:F)</f>
        <v>2099369250</v>
      </c>
      <c r="J417" s="4">
        <f>SUM(E:E)</f>
        <v>8348167350</v>
      </c>
      <c r="K417">
        <f>SUM(C:C)</f>
        <v>1017885</v>
      </c>
      <c r="L417">
        <f>MONTH(G:G)</f>
        <v>10</v>
      </c>
      <c r="M417">
        <f>YEAR(G:G)</f>
        <v>2025</v>
      </c>
    </row>
    <row r="418" spans="1:13" x14ac:dyDescent="0.25">
      <c r="A418" s="1" t="s">
        <v>15</v>
      </c>
      <c r="B418" s="1" t="s">
        <v>17</v>
      </c>
      <c r="C418">
        <v>1499</v>
      </c>
      <c r="D418">
        <v>22485000</v>
      </c>
      <c r="E418">
        <v>16489000</v>
      </c>
      <c r="F418">
        <v>5996000</v>
      </c>
      <c r="G418" s="2">
        <v>45955</v>
      </c>
      <c r="H418" s="3">
        <f>SUM(D:D)</f>
        <v>10447536600</v>
      </c>
      <c r="I418" s="4">
        <f>SUM(F:F)</f>
        <v>2099369250</v>
      </c>
      <c r="J418" s="4">
        <f>SUM(E:E)</f>
        <v>8348167350</v>
      </c>
      <c r="K418">
        <f>SUM(C:C)</f>
        <v>1017885</v>
      </c>
      <c r="L418">
        <f>MONTH(G:G)</f>
        <v>10</v>
      </c>
      <c r="M418">
        <f>YEAR(G:G)</f>
        <v>2025</v>
      </c>
    </row>
    <row r="419" spans="1:13" x14ac:dyDescent="0.25">
      <c r="A419" s="1" t="s">
        <v>18</v>
      </c>
      <c r="B419" s="1" t="s">
        <v>8</v>
      </c>
      <c r="C419">
        <v>863</v>
      </c>
      <c r="D419">
        <v>2589000</v>
      </c>
      <c r="E419">
        <v>1553400</v>
      </c>
      <c r="F419">
        <v>1035600</v>
      </c>
      <c r="G419" s="2">
        <v>45952</v>
      </c>
      <c r="H419" s="3">
        <f>SUM(D:D)</f>
        <v>10447536600</v>
      </c>
      <c r="I419" s="4">
        <f>SUM(F:F)</f>
        <v>2099369250</v>
      </c>
      <c r="J419" s="4">
        <f>SUM(E:E)</f>
        <v>8348167350</v>
      </c>
      <c r="K419">
        <f>SUM(C:C)</f>
        <v>1017885</v>
      </c>
      <c r="L419">
        <f>MONTH(G:G)</f>
        <v>10</v>
      </c>
      <c r="M419">
        <f>YEAR(G:G)</f>
        <v>2025</v>
      </c>
    </row>
    <row r="420" spans="1:13" x14ac:dyDescent="0.25">
      <c r="A420" s="1" t="s">
        <v>20</v>
      </c>
      <c r="B420" s="1" t="s">
        <v>19</v>
      </c>
      <c r="C420">
        <v>78</v>
      </c>
      <c r="D420">
        <v>3510000</v>
      </c>
      <c r="E420">
        <v>2964000</v>
      </c>
      <c r="F420">
        <v>546000</v>
      </c>
      <c r="G420" s="2">
        <v>45953</v>
      </c>
      <c r="H420" s="3">
        <f>SUM(D:D)</f>
        <v>10447536600</v>
      </c>
      <c r="I420" s="4">
        <f>SUM(F:F)</f>
        <v>2099369250</v>
      </c>
      <c r="J420" s="4">
        <f>SUM(E:E)</f>
        <v>8348167350</v>
      </c>
      <c r="K420">
        <f>SUM(C:C)</f>
        <v>1017885</v>
      </c>
      <c r="L420">
        <f>MONTH(G:G)</f>
        <v>10</v>
      </c>
      <c r="M420">
        <f>YEAR(G:G)</f>
        <v>2025</v>
      </c>
    </row>
    <row r="421" spans="1:13" x14ac:dyDescent="0.25">
      <c r="A421" s="1" t="s">
        <v>18</v>
      </c>
      <c r="B421" s="1" t="s">
        <v>14</v>
      </c>
      <c r="C421">
        <v>367</v>
      </c>
      <c r="D421">
        <v>440400</v>
      </c>
      <c r="E421">
        <v>293600</v>
      </c>
      <c r="F421">
        <v>146800</v>
      </c>
      <c r="G421" s="2">
        <v>45941</v>
      </c>
      <c r="H421" s="3">
        <f>SUM(D:D)</f>
        <v>10447536600</v>
      </c>
      <c r="I421" s="4">
        <f>SUM(F:F)</f>
        <v>2099369250</v>
      </c>
      <c r="J421" s="4">
        <f>SUM(E:E)</f>
        <v>8348167350</v>
      </c>
      <c r="K421">
        <f>SUM(C:C)</f>
        <v>1017885</v>
      </c>
      <c r="L421">
        <f>MONTH(G:G)</f>
        <v>10</v>
      </c>
      <c r="M421">
        <f>YEAR(G:G)</f>
        <v>2025</v>
      </c>
    </row>
    <row r="422" spans="1:13" x14ac:dyDescent="0.25">
      <c r="A422" s="1" t="s">
        <v>11</v>
      </c>
      <c r="B422" s="1" t="s">
        <v>12</v>
      </c>
      <c r="C422">
        <v>481</v>
      </c>
      <c r="D422">
        <v>577200</v>
      </c>
      <c r="E422">
        <v>408850</v>
      </c>
      <c r="F422">
        <v>168350</v>
      </c>
      <c r="G422" s="2">
        <v>45939</v>
      </c>
      <c r="H422" s="3">
        <f>SUM(D:D)</f>
        <v>10447536600</v>
      </c>
      <c r="I422" s="4">
        <f>SUM(F:F)</f>
        <v>2099369250</v>
      </c>
      <c r="J422" s="4">
        <f>SUM(E:E)</f>
        <v>8348167350</v>
      </c>
      <c r="K422">
        <f>SUM(C:C)</f>
        <v>1017885</v>
      </c>
      <c r="L422">
        <f>MONTH(G:G)</f>
        <v>10</v>
      </c>
      <c r="M422">
        <f>YEAR(G:G)</f>
        <v>2025</v>
      </c>
    </row>
    <row r="423" spans="1:13" x14ac:dyDescent="0.25">
      <c r="A423" s="1" t="s">
        <v>21</v>
      </c>
      <c r="B423" s="1" t="s">
        <v>10</v>
      </c>
      <c r="C423">
        <v>1657</v>
      </c>
      <c r="D423">
        <v>5799500</v>
      </c>
      <c r="E423">
        <v>4308200</v>
      </c>
      <c r="F423">
        <v>1491300</v>
      </c>
      <c r="G423" s="2">
        <v>45953</v>
      </c>
      <c r="H423" s="3">
        <f>SUM(D:D)</f>
        <v>10447536600</v>
      </c>
      <c r="I423" s="4">
        <f>SUM(F:F)</f>
        <v>2099369250</v>
      </c>
      <c r="J423" s="4">
        <f>SUM(E:E)</f>
        <v>8348167350</v>
      </c>
      <c r="K423">
        <f>SUM(C:C)</f>
        <v>1017885</v>
      </c>
      <c r="L423">
        <f>MONTH(G:G)</f>
        <v>10</v>
      </c>
      <c r="M423">
        <f>YEAR(G:G)</f>
        <v>2025</v>
      </c>
    </row>
    <row r="424" spans="1:13" x14ac:dyDescent="0.25">
      <c r="A424" s="1" t="s">
        <v>9</v>
      </c>
      <c r="B424" s="1" t="s">
        <v>10</v>
      </c>
      <c r="C424">
        <v>2850</v>
      </c>
      <c r="D424">
        <v>9975000</v>
      </c>
      <c r="E424">
        <v>7410000</v>
      </c>
      <c r="F424">
        <v>2565000</v>
      </c>
      <c r="G424" s="2">
        <v>45961</v>
      </c>
      <c r="H424" s="3">
        <f>SUM(D:D)</f>
        <v>10447536600</v>
      </c>
      <c r="I424" s="4">
        <f>SUM(F:F)</f>
        <v>2099369250</v>
      </c>
      <c r="J424" s="4">
        <f>SUM(E:E)</f>
        <v>8348167350</v>
      </c>
      <c r="K424">
        <f>SUM(C:C)</f>
        <v>1017885</v>
      </c>
      <c r="L424">
        <f>MONTH(G:G)</f>
        <v>10</v>
      </c>
      <c r="M424">
        <f>YEAR(G:G)</f>
        <v>2025</v>
      </c>
    </row>
    <row r="425" spans="1:13" x14ac:dyDescent="0.25">
      <c r="A425" s="1" t="s">
        <v>11</v>
      </c>
      <c r="B425" s="1" t="s">
        <v>19</v>
      </c>
      <c r="C425">
        <v>103</v>
      </c>
      <c r="D425">
        <v>4635000</v>
      </c>
      <c r="E425">
        <v>3914000</v>
      </c>
      <c r="F425">
        <v>721000</v>
      </c>
      <c r="G425" s="2">
        <v>45948</v>
      </c>
      <c r="H425" s="3">
        <f>SUM(D:D)</f>
        <v>10447536600</v>
      </c>
      <c r="I425" s="4">
        <f>SUM(F:F)</f>
        <v>2099369250</v>
      </c>
      <c r="J425" s="4">
        <f>SUM(E:E)</f>
        <v>8348167350</v>
      </c>
      <c r="K425">
        <f>SUM(C:C)</f>
        <v>1017885</v>
      </c>
      <c r="L425">
        <f>MONTH(G:G)</f>
        <v>10</v>
      </c>
      <c r="M425">
        <f>YEAR(G:G)</f>
        <v>2025</v>
      </c>
    </row>
    <row r="426" spans="1:13" x14ac:dyDescent="0.25">
      <c r="A426" s="1" t="s">
        <v>7</v>
      </c>
      <c r="B426" s="1" t="s">
        <v>14</v>
      </c>
      <c r="C426">
        <v>2104</v>
      </c>
      <c r="D426">
        <v>2524800</v>
      </c>
      <c r="E426">
        <v>1683200</v>
      </c>
      <c r="F426">
        <v>841600</v>
      </c>
      <c r="G426" s="2">
        <v>45954</v>
      </c>
      <c r="H426" s="3">
        <f>SUM(D:D)</f>
        <v>10447536600</v>
      </c>
      <c r="I426" s="4">
        <f>SUM(F:F)</f>
        <v>2099369250</v>
      </c>
      <c r="J426" s="4">
        <f>SUM(E:E)</f>
        <v>8348167350</v>
      </c>
      <c r="K426">
        <f>SUM(C:C)</f>
        <v>1017885</v>
      </c>
      <c r="L426">
        <f>MONTH(G:G)</f>
        <v>10</v>
      </c>
      <c r="M426">
        <f>YEAR(G:G)</f>
        <v>2025</v>
      </c>
    </row>
    <row r="427" spans="1:13" x14ac:dyDescent="0.25">
      <c r="A427" s="1" t="s">
        <v>11</v>
      </c>
      <c r="B427" s="1" t="s">
        <v>12</v>
      </c>
      <c r="C427">
        <v>2632</v>
      </c>
      <c r="D427">
        <v>3158400</v>
      </c>
      <c r="E427">
        <v>2237200</v>
      </c>
      <c r="F427">
        <v>921200</v>
      </c>
      <c r="G427" s="2">
        <v>45933</v>
      </c>
      <c r="H427" s="3">
        <f>SUM(D:D)</f>
        <v>10447536600</v>
      </c>
      <c r="I427" s="4">
        <f>SUM(F:F)</f>
        <v>2099369250</v>
      </c>
      <c r="J427" s="4">
        <f>SUM(E:E)</f>
        <v>8348167350</v>
      </c>
      <c r="K427">
        <f>SUM(C:C)</f>
        <v>1017885</v>
      </c>
      <c r="L427">
        <f>MONTH(G:G)</f>
        <v>10</v>
      </c>
      <c r="M427">
        <f>YEAR(G:G)</f>
        <v>2025</v>
      </c>
    </row>
    <row r="428" spans="1:13" x14ac:dyDescent="0.25">
      <c r="A428" s="1" t="s">
        <v>18</v>
      </c>
      <c r="B428" s="1" t="s">
        <v>8</v>
      </c>
      <c r="C428">
        <v>2432</v>
      </c>
      <c r="D428">
        <v>7296000</v>
      </c>
      <c r="E428">
        <v>4377600</v>
      </c>
      <c r="F428">
        <v>2918400</v>
      </c>
      <c r="G428" s="2">
        <v>45952</v>
      </c>
      <c r="H428" s="3">
        <f>SUM(D:D)</f>
        <v>10447536600</v>
      </c>
      <c r="I428" s="4">
        <f>SUM(F:F)</f>
        <v>2099369250</v>
      </c>
      <c r="J428" s="4">
        <f>SUM(E:E)</f>
        <v>8348167350</v>
      </c>
      <c r="K428">
        <f>SUM(C:C)</f>
        <v>1017885</v>
      </c>
      <c r="L428">
        <f>MONTH(G:G)</f>
        <v>10</v>
      </c>
      <c r="M428">
        <f>YEAR(G:G)</f>
        <v>2025</v>
      </c>
    </row>
    <row r="429" spans="1:13" x14ac:dyDescent="0.25">
      <c r="A429" s="1" t="s">
        <v>7</v>
      </c>
      <c r="B429" s="1" t="s">
        <v>8</v>
      </c>
      <c r="C429">
        <v>1295</v>
      </c>
      <c r="D429">
        <v>3885000</v>
      </c>
      <c r="E429">
        <v>2331000</v>
      </c>
      <c r="F429">
        <v>1554000</v>
      </c>
      <c r="G429" s="2">
        <v>45941</v>
      </c>
      <c r="H429" s="3">
        <f>SUM(D:D)</f>
        <v>10447536600</v>
      </c>
      <c r="I429" s="4">
        <f>SUM(F:F)</f>
        <v>2099369250</v>
      </c>
      <c r="J429" s="4">
        <f>SUM(E:E)</f>
        <v>8348167350</v>
      </c>
      <c r="K429">
        <f>SUM(C:C)</f>
        <v>1017885</v>
      </c>
      <c r="L429">
        <f>MONTH(G:G)</f>
        <v>10</v>
      </c>
      <c r="M429">
        <f>YEAR(G:G)</f>
        <v>2025</v>
      </c>
    </row>
    <row r="430" spans="1:13" x14ac:dyDescent="0.25">
      <c r="A430" s="1" t="s">
        <v>7</v>
      </c>
      <c r="B430" s="1" t="s">
        <v>14</v>
      </c>
      <c r="C430">
        <v>619</v>
      </c>
      <c r="D430">
        <v>742800</v>
      </c>
      <c r="E430">
        <v>495200</v>
      </c>
      <c r="F430">
        <v>247600</v>
      </c>
      <c r="G430" s="2">
        <v>45955</v>
      </c>
      <c r="H430" s="3">
        <f>SUM(D:D)</f>
        <v>10447536600</v>
      </c>
      <c r="I430" s="4">
        <f>SUM(F:F)</f>
        <v>2099369250</v>
      </c>
      <c r="J430" s="4">
        <f>SUM(E:E)</f>
        <v>8348167350</v>
      </c>
      <c r="K430">
        <f>SUM(C:C)</f>
        <v>1017885</v>
      </c>
      <c r="L430">
        <f>MONTH(G:G)</f>
        <v>10</v>
      </c>
      <c r="M430">
        <f>YEAR(G:G)</f>
        <v>2025</v>
      </c>
    </row>
    <row r="431" spans="1:13" x14ac:dyDescent="0.25">
      <c r="A431" s="1" t="s">
        <v>13</v>
      </c>
      <c r="B431" s="1" t="s">
        <v>12</v>
      </c>
      <c r="C431">
        <v>1925</v>
      </c>
      <c r="D431">
        <v>2310000</v>
      </c>
      <c r="E431">
        <v>1636250</v>
      </c>
      <c r="F431">
        <v>673750</v>
      </c>
      <c r="G431" s="2">
        <v>45943</v>
      </c>
      <c r="H431" s="3">
        <f>SUM(D:D)</f>
        <v>10447536600</v>
      </c>
      <c r="I431" s="4">
        <f>SUM(F:F)</f>
        <v>2099369250</v>
      </c>
      <c r="J431" s="4">
        <f>SUM(E:E)</f>
        <v>8348167350</v>
      </c>
      <c r="K431">
        <f>SUM(C:C)</f>
        <v>1017885</v>
      </c>
      <c r="L431">
        <f>MONTH(G:G)</f>
        <v>10</v>
      </c>
      <c r="M431">
        <f>YEAR(G:G)</f>
        <v>2025</v>
      </c>
    </row>
    <row r="432" spans="1:13" x14ac:dyDescent="0.25">
      <c r="A432" s="1" t="s">
        <v>21</v>
      </c>
      <c r="B432" s="1" t="s">
        <v>19</v>
      </c>
      <c r="C432">
        <v>151</v>
      </c>
      <c r="D432">
        <v>6795000</v>
      </c>
      <c r="E432">
        <v>5738000</v>
      </c>
      <c r="F432">
        <v>1057000</v>
      </c>
      <c r="G432" s="2">
        <v>45952</v>
      </c>
      <c r="H432" s="3">
        <f>SUM(D:D)</f>
        <v>10447536600</v>
      </c>
      <c r="I432" s="4">
        <f>SUM(F:F)</f>
        <v>2099369250</v>
      </c>
      <c r="J432" s="4">
        <f>SUM(E:E)</f>
        <v>8348167350</v>
      </c>
      <c r="K432">
        <f>SUM(C:C)</f>
        <v>1017885</v>
      </c>
      <c r="L432">
        <f>MONTH(G:G)</f>
        <v>10</v>
      </c>
      <c r="M432">
        <f>YEAR(G:G)</f>
        <v>2025</v>
      </c>
    </row>
    <row r="433" spans="1:13" x14ac:dyDescent="0.25">
      <c r="A433" s="1" t="s">
        <v>13</v>
      </c>
      <c r="B433" s="1" t="s">
        <v>8</v>
      </c>
      <c r="C433">
        <v>263</v>
      </c>
      <c r="D433">
        <v>789000</v>
      </c>
      <c r="E433">
        <v>473400</v>
      </c>
      <c r="F433">
        <v>315600</v>
      </c>
      <c r="G433" s="2">
        <v>45938</v>
      </c>
      <c r="H433" s="3">
        <f>SUM(D:D)</f>
        <v>10447536600</v>
      </c>
      <c r="I433" s="4">
        <f>SUM(F:F)</f>
        <v>2099369250</v>
      </c>
      <c r="J433" s="4">
        <f>SUM(E:E)</f>
        <v>8348167350</v>
      </c>
      <c r="K433">
        <f>SUM(C:C)</f>
        <v>1017885</v>
      </c>
      <c r="L433">
        <f>MONTH(G:G)</f>
        <v>10</v>
      </c>
      <c r="M433">
        <f>YEAR(G:G)</f>
        <v>2025</v>
      </c>
    </row>
    <row r="434" spans="1:13" x14ac:dyDescent="0.25">
      <c r="A434" s="1" t="s">
        <v>16</v>
      </c>
      <c r="B434" s="1" t="s">
        <v>17</v>
      </c>
      <c r="C434">
        <v>1161</v>
      </c>
      <c r="D434">
        <v>17415000</v>
      </c>
      <c r="E434">
        <v>12771000</v>
      </c>
      <c r="F434">
        <v>4644000</v>
      </c>
      <c r="G434" s="2">
        <v>45954</v>
      </c>
      <c r="H434" s="3">
        <f>SUM(D:D)</f>
        <v>10447536600</v>
      </c>
      <c r="I434" s="4">
        <f>SUM(F:F)</f>
        <v>2099369250</v>
      </c>
      <c r="J434" s="4">
        <f>SUM(E:E)</f>
        <v>8348167350</v>
      </c>
      <c r="K434">
        <f>SUM(C:C)</f>
        <v>1017885</v>
      </c>
      <c r="L434">
        <f>MONTH(G:G)</f>
        <v>10</v>
      </c>
      <c r="M434">
        <f>YEAR(G:G)</f>
        <v>2025</v>
      </c>
    </row>
    <row r="435" spans="1:13" x14ac:dyDescent="0.25">
      <c r="A435" s="1" t="s">
        <v>20</v>
      </c>
      <c r="B435" s="1" t="s">
        <v>23</v>
      </c>
      <c r="C435">
        <v>1745</v>
      </c>
      <c r="D435">
        <v>8725000</v>
      </c>
      <c r="E435">
        <v>7329000</v>
      </c>
      <c r="F435">
        <v>1396000</v>
      </c>
      <c r="G435" s="2">
        <v>45953</v>
      </c>
      <c r="H435" s="3">
        <f>SUM(D:D)</f>
        <v>10447536600</v>
      </c>
      <c r="I435" s="4">
        <f>SUM(F:F)</f>
        <v>2099369250</v>
      </c>
      <c r="J435" s="4">
        <f>SUM(E:E)</f>
        <v>8348167350</v>
      </c>
      <c r="K435">
        <f>SUM(C:C)</f>
        <v>1017885</v>
      </c>
      <c r="L435">
        <f>MONTH(G:G)</f>
        <v>10</v>
      </c>
      <c r="M435">
        <f>YEAR(G:G)</f>
        <v>2025</v>
      </c>
    </row>
    <row r="436" spans="1:13" x14ac:dyDescent="0.25">
      <c r="A436" s="1" t="s">
        <v>11</v>
      </c>
      <c r="B436" s="1" t="s">
        <v>8</v>
      </c>
      <c r="C436">
        <v>1280</v>
      </c>
      <c r="D436">
        <v>3840000</v>
      </c>
      <c r="E436">
        <v>2304000</v>
      </c>
      <c r="F436">
        <v>1536000</v>
      </c>
      <c r="G436" s="2">
        <v>45955</v>
      </c>
      <c r="H436" s="3">
        <f>SUM(D:D)</f>
        <v>10447536600</v>
      </c>
      <c r="I436" s="4">
        <f>SUM(F:F)</f>
        <v>2099369250</v>
      </c>
      <c r="J436" s="4">
        <f>SUM(E:E)</f>
        <v>8348167350</v>
      </c>
      <c r="K436">
        <f>SUM(C:C)</f>
        <v>1017885</v>
      </c>
      <c r="L436">
        <f>MONTH(G:G)</f>
        <v>10</v>
      </c>
      <c r="M436">
        <f>YEAR(G:G)</f>
        <v>2025</v>
      </c>
    </row>
    <row r="437" spans="1:13" x14ac:dyDescent="0.25">
      <c r="A437" s="1" t="s">
        <v>16</v>
      </c>
      <c r="B437" s="1" t="s">
        <v>19</v>
      </c>
      <c r="C437">
        <v>2517</v>
      </c>
      <c r="D437">
        <v>113265000</v>
      </c>
      <c r="E437">
        <v>95646000</v>
      </c>
      <c r="F437">
        <v>17619000</v>
      </c>
      <c r="G437" s="2">
        <v>45951</v>
      </c>
      <c r="H437" s="3">
        <f>SUM(D:D)</f>
        <v>10447536600</v>
      </c>
      <c r="I437" s="4">
        <f>SUM(F:F)</f>
        <v>2099369250</v>
      </c>
      <c r="J437" s="4">
        <f>SUM(E:E)</f>
        <v>8348167350</v>
      </c>
      <c r="K437">
        <f>SUM(C:C)</f>
        <v>1017885</v>
      </c>
      <c r="L437">
        <f>MONTH(G:G)</f>
        <v>10</v>
      </c>
      <c r="M437">
        <f>YEAR(G:G)</f>
        <v>2025</v>
      </c>
    </row>
    <row r="438" spans="1:13" x14ac:dyDescent="0.25">
      <c r="A438" s="1" t="s">
        <v>9</v>
      </c>
      <c r="B438" s="1" t="s">
        <v>8</v>
      </c>
      <c r="C438">
        <v>2934</v>
      </c>
      <c r="D438">
        <v>8802000</v>
      </c>
      <c r="E438">
        <v>5281200</v>
      </c>
      <c r="F438">
        <v>3520800</v>
      </c>
      <c r="G438" s="2">
        <v>45932</v>
      </c>
      <c r="H438" s="3">
        <f>SUM(D:D)</f>
        <v>10447536600</v>
      </c>
      <c r="I438" s="4">
        <f>SUM(F:F)</f>
        <v>2099369250</v>
      </c>
      <c r="J438" s="4">
        <f>SUM(E:E)</f>
        <v>8348167350</v>
      </c>
      <c r="K438">
        <f>SUM(C:C)</f>
        <v>1017885</v>
      </c>
      <c r="L438">
        <f>MONTH(G:G)</f>
        <v>10</v>
      </c>
      <c r="M438">
        <f>YEAR(G:G)</f>
        <v>2025</v>
      </c>
    </row>
    <row r="439" spans="1:13" x14ac:dyDescent="0.25">
      <c r="A439" s="1" t="s">
        <v>18</v>
      </c>
      <c r="B439" s="1" t="s">
        <v>8</v>
      </c>
      <c r="C439">
        <v>1300</v>
      </c>
      <c r="D439">
        <v>3900000</v>
      </c>
      <c r="E439">
        <v>2340000</v>
      </c>
      <c r="F439">
        <v>1560000</v>
      </c>
      <c r="G439" s="2">
        <v>45979</v>
      </c>
      <c r="H439" s="3">
        <f>SUM(D:D)</f>
        <v>10447536600</v>
      </c>
      <c r="I439" s="4">
        <f>SUM(F:F)</f>
        <v>2099369250</v>
      </c>
      <c r="J439" s="4">
        <f>SUM(E:E)</f>
        <v>8348167350</v>
      </c>
      <c r="K439">
        <f>SUM(C:C)</f>
        <v>1017885</v>
      </c>
      <c r="L439">
        <f>MONTH(G:G)</f>
        <v>11</v>
      </c>
      <c r="M439">
        <f>YEAR(G:G)</f>
        <v>2025</v>
      </c>
    </row>
    <row r="440" spans="1:13" x14ac:dyDescent="0.25">
      <c r="A440" s="1" t="s">
        <v>16</v>
      </c>
      <c r="B440" s="1" t="s">
        <v>14</v>
      </c>
      <c r="C440">
        <v>88</v>
      </c>
      <c r="D440">
        <v>105600</v>
      </c>
      <c r="E440">
        <v>70400</v>
      </c>
      <c r="F440">
        <v>35200</v>
      </c>
      <c r="G440" s="2">
        <v>45973</v>
      </c>
      <c r="H440" s="3">
        <f>SUM(D:D)</f>
        <v>10447536600</v>
      </c>
      <c r="I440" s="4">
        <f>SUM(F:F)</f>
        <v>2099369250</v>
      </c>
      <c r="J440" s="4">
        <f>SUM(E:E)</f>
        <v>8348167350</v>
      </c>
      <c r="K440">
        <f>SUM(C:C)</f>
        <v>1017885</v>
      </c>
      <c r="L440">
        <f>MONTH(G:G)</f>
        <v>11</v>
      </c>
      <c r="M440">
        <f>YEAR(G:G)</f>
        <v>2025</v>
      </c>
    </row>
    <row r="441" spans="1:13" x14ac:dyDescent="0.25">
      <c r="A441" s="1" t="s">
        <v>7</v>
      </c>
      <c r="B441" s="1" t="s">
        <v>14</v>
      </c>
      <c r="C441">
        <v>1854</v>
      </c>
      <c r="D441">
        <v>2224800</v>
      </c>
      <c r="E441">
        <v>1483200</v>
      </c>
      <c r="F441">
        <v>741600</v>
      </c>
      <c r="G441" s="2">
        <v>45978</v>
      </c>
      <c r="H441" s="3">
        <f>SUM(D:D)</f>
        <v>10447536600</v>
      </c>
      <c r="I441" s="4">
        <f>SUM(F:F)</f>
        <v>2099369250</v>
      </c>
      <c r="J441" s="4">
        <f>SUM(E:E)</f>
        <v>8348167350</v>
      </c>
      <c r="K441">
        <f>SUM(C:C)</f>
        <v>1017885</v>
      </c>
      <c r="L441">
        <f>MONTH(G:G)</f>
        <v>11</v>
      </c>
      <c r="M441">
        <f>YEAR(G:G)</f>
        <v>2025</v>
      </c>
    </row>
    <row r="442" spans="1:13" x14ac:dyDescent="0.25">
      <c r="A442" s="1" t="s">
        <v>7</v>
      </c>
      <c r="B442" s="1" t="s">
        <v>17</v>
      </c>
      <c r="C442">
        <v>1681</v>
      </c>
      <c r="D442">
        <v>25215000</v>
      </c>
      <c r="E442">
        <v>18491000</v>
      </c>
      <c r="F442">
        <v>6724000</v>
      </c>
      <c r="G442" s="2">
        <v>45964</v>
      </c>
      <c r="H442" s="3">
        <f>SUM(D:D)</f>
        <v>10447536600</v>
      </c>
      <c r="I442" s="4">
        <f>SUM(F:F)</f>
        <v>2099369250</v>
      </c>
      <c r="J442" s="4">
        <f>SUM(E:E)</f>
        <v>8348167350</v>
      </c>
      <c r="K442">
        <f>SUM(C:C)</f>
        <v>1017885</v>
      </c>
      <c r="L442">
        <f>MONTH(G:G)</f>
        <v>11</v>
      </c>
      <c r="M442">
        <f>YEAR(G:G)</f>
        <v>2025</v>
      </c>
    </row>
    <row r="443" spans="1:13" x14ac:dyDescent="0.25">
      <c r="A443" s="1" t="s">
        <v>22</v>
      </c>
      <c r="B443" s="1" t="s">
        <v>23</v>
      </c>
      <c r="C443">
        <v>438</v>
      </c>
      <c r="D443">
        <v>2190000</v>
      </c>
      <c r="E443">
        <v>1839600</v>
      </c>
      <c r="F443">
        <v>350400</v>
      </c>
      <c r="G443" s="2">
        <v>45991</v>
      </c>
      <c r="H443" s="3">
        <f>SUM(D:D)</f>
        <v>10447536600</v>
      </c>
      <c r="I443" s="4">
        <f>SUM(F:F)</f>
        <v>2099369250</v>
      </c>
      <c r="J443" s="4">
        <f>SUM(E:E)</f>
        <v>8348167350</v>
      </c>
      <c r="K443">
        <f>SUM(C:C)</f>
        <v>1017885</v>
      </c>
      <c r="L443">
        <f>MONTH(G:G)</f>
        <v>11</v>
      </c>
      <c r="M443">
        <f>YEAR(G:G)</f>
        <v>2025</v>
      </c>
    </row>
    <row r="444" spans="1:13" x14ac:dyDescent="0.25">
      <c r="A444" s="1" t="s">
        <v>13</v>
      </c>
      <c r="B444" s="1" t="s">
        <v>12</v>
      </c>
      <c r="C444">
        <v>1024</v>
      </c>
      <c r="D444">
        <v>1228800</v>
      </c>
      <c r="E444">
        <v>870400</v>
      </c>
      <c r="F444">
        <v>358400</v>
      </c>
      <c r="G444" s="2">
        <v>45969</v>
      </c>
      <c r="H444" s="3">
        <f>SUM(D:D)</f>
        <v>10447536600</v>
      </c>
      <c r="I444" s="4">
        <f>SUM(F:F)</f>
        <v>2099369250</v>
      </c>
      <c r="J444" s="4">
        <f>SUM(E:E)</f>
        <v>8348167350</v>
      </c>
      <c r="K444">
        <f>SUM(C:C)</f>
        <v>1017885</v>
      </c>
      <c r="L444">
        <f>MONTH(G:G)</f>
        <v>11</v>
      </c>
      <c r="M444">
        <f>YEAR(G:G)</f>
        <v>2025</v>
      </c>
    </row>
    <row r="445" spans="1:13" x14ac:dyDescent="0.25">
      <c r="A445" s="1" t="s">
        <v>21</v>
      </c>
      <c r="B445" s="1" t="s">
        <v>23</v>
      </c>
      <c r="C445">
        <v>405</v>
      </c>
      <c r="D445">
        <v>2025000</v>
      </c>
      <c r="E445">
        <v>1701000</v>
      </c>
      <c r="F445">
        <v>324000</v>
      </c>
      <c r="G445" s="2">
        <v>45963</v>
      </c>
      <c r="H445" s="3">
        <f>SUM(D:D)</f>
        <v>10447536600</v>
      </c>
      <c r="I445" s="4">
        <f>SUM(F:F)</f>
        <v>2099369250</v>
      </c>
      <c r="J445" s="4">
        <f>SUM(E:E)</f>
        <v>8348167350</v>
      </c>
      <c r="K445">
        <f>SUM(C:C)</f>
        <v>1017885</v>
      </c>
      <c r="L445">
        <f>MONTH(G:G)</f>
        <v>11</v>
      </c>
      <c r="M445">
        <f>YEAR(G:G)</f>
        <v>2025</v>
      </c>
    </row>
    <row r="446" spans="1:13" x14ac:dyDescent="0.25">
      <c r="A446" s="1" t="s">
        <v>13</v>
      </c>
      <c r="B446" s="1" t="s">
        <v>17</v>
      </c>
      <c r="C446">
        <v>2769</v>
      </c>
      <c r="D446">
        <v>41535000</v>
      </c>
      <c r="E446">
        <v>30459000</v>
      </c>
      <c r="F446">
        <v>11076000</v>
      </c>
      <c r="G446" s="2">
        <v>45981</v>
      </c>
      <c r="H446" s="3">
        <f>SUM(D:D)</f>
        <v>10447536600</v>
      </c>
      <c r="I446" s="4">
        <f>SUM(F:F)</f>
        <v>2099369250</v>
      </c>
      <c r="J446" s="4">
        <f>SUM(E:E)</f>
        <v>8348167350</v>
      </c>
      <c r="K446">
        <f>SUM(C:C)</f>
        <v>1017885</v>
      </c>
      <c r="L446">
        <f>MONTH(G:G)</f>
        <v>11</v>
      </c>
      <c r="M446">
        <f>YEAR(G:G)</f>
        <v>2025</v>
      </c>
    </row>
    <row r="447" spans="1:13" x14ac:dyDescent="0.25">
      <c r="A447" s="1" t="s">
        <v>18</v>
      </c>
      <c r="B447" s="1" t="s">
        <v>23</v>
      </c>
      <c r="C447">
        <v>2289</v>
      </c>
      <c r="D447">
        <v>11445000</v>
      </c>
      <c r="E447">
        <v>9613800</v>
      </c>
      <c r="F447">
        <v>1831200</v>
      </c>
      <c r="G447" s="2">
        <v>45963</v>
      </c>
      <c r="H447" s="3">
        <f>SUM(D:D)</f>
        <v>10447536600</v>
      </c>
      <c r="I447" s="4">
        <f>SUM(F:F)</f>
        <v>2099369250</v>
      </c>
      <c r="J447" s="4">
        <f>SUM(E:E)</f>
        <v>8348167350</v>
      </c>
      <c r="K447">
        <f>SUM(C:C)</f>
        <v>1017885</v>
      </c>
      <c r="L447">
        <f>MONTH(G:G)</f>
        <v>11</v>
      </c>
      <c r="M447">
        <f>YEAR(G:G)</f>
        <v>2025</v>
      </c>
    </row>
    <row r="448" spans="1:13" x14ac:dyDescent="0.25">
      <c r="A448" s="1" t="s">
        <v>16</v>
      </c>
      <c r="B448" s="1" t="s">
        <v>10</v>
      </c>
      <c r="C448">
        <v>935</v>
      </c>
      <c r="D448">
        <v>3272500</v>
      </c>
      <c r="E448">
        <v>2431000</v>
      </c>
      <c r="F448">
        <v>841500</v>
      </c>
      <c r="G448" s="2">
        <v>45991</v>
      </c>
      <c r="H448" s="3">
        <f>SUM(D:D)</f>
        <v>10447536600</v>
      </c>
      <c r="I448" s="4">
        <f>SUM(F:F)</f>
        <v>2099369250</v>
      </c>
      <c r="J448" s="4">
        <f>SUM(E:E)</f>
        <v>8348167350</v>
      </c>
      <c r="K448">
        <f>SUM(C:C)</f>
        <v>1017885</v>
      </c>
      <c r="L448">
        <f>MONTH(G:G)</f>
        <v>11</v>
      </c>
      <c r="M448">
        <f>YEAR(G:G)</f>
        <v>2025</v>
      </c>
    </row>
    <row r="449" spans="1:13" x14ac:dyDescent="0.25">
      <c r="A449" s="1" t="s">
        <v>13</v>
      </c>
      <c r="B449" s="1" t="s">
        <v>19</v>
      </c>
      <c r="C449">
        <v>387</v>
      </c>
      <c r="D449">
        <v>17415000</v>
      </c>
      <c r="E449">
        <v>14706000</v>
      </c>
      <c r="F449">
        <v>2709000</v>
      </c>
      <c r="G449" s="2">
        <v>45977</v>
      </c>
      <c r="H449" s="3">
        <f>SUM(D:D)</f>
        <v>10447536600</v>
      </c>
      <c r="I449" s="4">
        <f>SUM(F:F)</f>
        <v>2099369250</v>
      </c>
      <c r="J449" s="4">
        <f>SUM(E:E)</f>
        <v>8348167350</v>
      </c>
      <c r="K449">
        <f>SUM(C:C)</f>
        <v>1017885</v>
      </c>
      <c r="L449">
        <f>MONTH(G:G)</f>
        <v>11</v>
      </c>
      <c r="M449">
        <f>YEAR(G:G)</f>
        <v>2025</v>
      </c>
    </row>
    <row r="450" spans="1:13" x14ac:dyDescent="0.25">
      <c r="A450" s="1" t="s">
        <v>9</v>
      </c>
      <c r="B450" s="1" t="s">
        <v>14</v>
      </c>
      <c r="C450">
        <v>1999</v>
      </c>
      <c r="D450">
        <v>2398800</v>
      </c>
      <c r="E450">
        <v>1599200</v>
      </c>
      <c r="F450">
        <v>799600</v>
      </c>
      <c r="G450" s="2">
        <v>45987</v>
      </c>
      <c r="H450" s="3">
        <f>SUM(D:D)</f>
        <v>10447536600</v>
      </c>
      <c r="I450" s="4">
        <f>SUM(F:F)</f>
        <v>2099369250</v>
      </c>
      <c r="J450" s="4">
        <f>SUM(E:E)</f>
        <v>8348167350</v>
      </c>
      <c r="K450">
        <f>SUM(C:C)</f>
        <v>1017885</v>
      </c>
      <c r="L450">
        <f>MONTH(G:G)</f>
        <v>11</v>
      </c>
      <c r="M450">
        <f>YEAR(G:G)</f>
        <v>2025</v>
      </c>
    </row>
    <row r="451" spans="1:13" x14ac:dyDescent="0.25">
      <c r="A451" s="1" t="s">
        <v>9</v>
      </c>
      <c r="B451" s="1" t="s">
        <v>12</v>
      </c>
      <c r="C451">
        <v>257</v>
      </c>
      <c r="D451">
        <v>308400</v>
      </c>
      <c r="E451">
        <v>218450</v>
      </c>
      <c r="F451">
        <v>89950</v>
      </c>
      <c r="G451" s="2">
        <v>45989</v>
      </c>
      <c r="H451" s="3">
        <f>SUM(D:D)</f>
        <v>10447536600</v>
      </c>
      <c r="I451" s="4">
        <f>SUM(F:F)</f>
        <v>2099369250</v>
      </c>
      <c r="J451" s="4">
        <f>SUM(E:E)</f>
        <v>8348167350</v>
      </c>
      <c r="K451">
        <f>SUM(C:C)</f>
        <v>1017885</v>
      </c>
      <c r="L451">
        <f>MONTH(G:G)</f>
        <v>11</v>
      </c>
      <c r="M451">
        <f>YEAR(G:G)</f>
        <v>2025</v>
      </c>
    </row>
    <row r="452" spans="1:13" x14ac:dyDescent="0.25">
      <c r="A452" s="1" t="s">
        <v>15</v>
      </c>
      <c r="B452" s="1" t="s">
        <v>19</v>
      </c>
      <c r="C452">
        <v>356</v>
      </c>
      <c r="D452">
        <v>16020000</v>
      </c>
      <c r="E452">
        <v>13528000</v>
      </c>
      <c r="F452">
        <v>2492000</v>
      </c>
      <c r="G452" s="2">
        <v>45989</v>
      </c>
      <c r="H452" s="3">
        <f>SUM(D:D)</f>
        <v>10447536600</v>
      </c>
      <c r="I452" s="4">
        <f>SUM(F:F)</f>
        <v>2099369250</v>
      </c>
      <c r="J452" s="4">
        <f>SUM(E:E)</f>
        <v>8348167350</v>
      </c>
      <c r="K452">
        <f>SUM(C:C)</f>
        <v>1017885</v>
      </c>
      <c r="L452">
        <f>MONTH(G:G)</f>
        <v>11</v>
      </c>
      <c r="M452">
        <f>YEAR(G:G)</f>
        <v>2025</v>
      </c>
    </row>
    <row r="453" spans="1:13" x14ac:dyDescent="0.25">
      <c r="A453" s="1" t="s">
        <v>22</v>
      </c>
      <c r="B453" s="1" t="s">
        <v>8</v>
      </c>
      <c r="C453">
        <v>1901</v>
      </c>
      <c r="D453">
        <v>5703000</v>
      </c>
      <c r="E453">
        <v>3421800</v>
      </c>
      <c r="F453">
        <v>2281200</v>
      </c>
      <c r="G453" s="2">
        <v>45977</v>
      </c>
      <c r="H453" s="3">
        <f>SUM(D:D)</f>
        <v>10447536600</v>
      </c>
      <c r="I453" s="4">
        <f>SUM(F:F)</f>
        <v>2099369250</v>
      </c>
      <c r="J453" s="4">
        <f>SUM(E:E)</f>
        <v>8348167350</v>
      </c>
      <c r="K453">
        <f>SUM(C:C)</f>
        <v>1017885</v>
      </c>
      <c r="L453">
        <f>MONTH(G:G)</f>
        <v>11</v>
      </c>
      <c r="M453">
        <f>YEAR(G:G)</f>
        <v>2025</v>
      </c>
    </row>
    <row r="454" spans="1:13" x14ac:dyDescent="0.25">
      <c r="A454" s="1" t="s">
        <v>15</v>
      </c>
      <c r="B454" s="1" t="s">
        <v>8</v>
      </c>
      <c r="C454">
        <v>679</v>
      </c>
      <c r="D454">
        <v>2037000</v>
      </c>
      <c r="E454">
        <v>1222200</v>
      </c>
      <c r="F454">
        <v>814800</v>
      </c>
      <c r="G454" s="2">
        <v>45981</v>
      </c>
      <c r="H454" s="3">
        <f>SUM(D:D)</f>
        <v>10447536600</v>
      </c>
      <c r="I454" s="4">
        <f>SUM(F:F)</f>
        <v>2099369250</v>
      </c>
      <c r="J454" s="4">
        <f>SUM(E:E)</f>
        <v>8348167350</v>
      </c>
      <c r="K454">
        <f>SUM(C:C)</f>
        <v>1017885</v>
      </c>
      <c r="L454">
        <f>MONTH(G:G)</f>
        <v>11</v>
      </c>
      <c r="M454">
        <f>YEAR(G:G)</f>
        <v>2025</v>
      </c>
    </row>
    <row r="455" spans="1:13" x14ac:dyDescent="0.25">
      <c r="A455" s="1" t="s">
        <v>22</v>
      </c>
      <c r="B455" s="1" t="s">
        <v>12</v>
      </c>
      <c r="C455">
        <v>2043</v>
      </c>
      <c r="D455">
        <v>2451600</v>
      </c>
      <c r="E455">
        <v>1736550</v>
      </c>
      <c r="F455">
        <v>715050</v>
      </c>
      <c r="G455" s="2">
        <v>45963</v>
      </c>
      <c r="H455" s="3">
        <f>SUM(D:D)</f>
        <v>10447536600</v>
      </c>
      <c r="I455" s="4">
        <f>SUM(F:F)</f>
        <v>2099369250</v>
      </c>
      <c r="J455" s="4">
        <f>SUM(E:E)</f>
        <v>8348167350</v>
      </c>
      <c r="K455">
        <f>SUM(C:C)</f>
        <v>1017885</v>
      </c>
      <c r="L455">
        <f>MONTH(G:G)</f>
        <v>11</v>
      </c>
      <c r="M455">
        <f>YEAR(G:G)</f>
        <v>2025</v>
      </c>
    </row>
    <row r="456" spans="1:13" x14ac:dyDescent="0.25">
      <c r="A456" s="1" t="s">
        <v>18</v>
      </c>
      <c r="B456" s="1" t="s">
        <v>14</v>
      </c>
      <c r="C456">
        <v>2019</v>
      </c>
      <c r="D456">
        <v>2422800</v>
      </c>
      <c r="E456">
        <v>1615200</v>
      </c>
      <c r="F456">
        <v>807600</v>
      </c>
      <c r="G456" s="2">
        <v>45971</v>
      </c>
      <c r="H456" s="3">
        <f>SUM(D:D)</f>
        <v>10447536600</v>
      </c>
      <c r="I456" s="4">
        <f>SUM(F:F)</f>
        <v>2099369250</v>
      </c>
      <c r="J456" s="4">
        <f>SUM(E:E)</f>
        <v>8348167350</v>
      </c>
      <c r="K456">
        <f>SUM(C:C)</f>
        <v>1017885</v>
      </c>
      <c r="L456">
        <f>MONTH(G:G)</f>
        <v>11</v>
      </c>
      <c r="M456">
        <f>YEAR(G:G)</f>
        <v>2025</v>
      </c>
    </row>
    <row r="457" spans="1:13" x14ac:dyDescent="0.25">
      <c r="A457" s="1" t="s">
        <v>13</v>
      </c>
      <c r="B457" s="1" t="s">
        <v>23</v>
      </c>
      <c r="C457">
        <v>1431</v>
      </c>
      <c r="D457">
        <v>7155000</v>
      </c>
      <c r="E457">
        <v>6010200</v>
      </c>
      <c r="F457">
        <v>1144800</v>
      </c>
      <c r="G457" s="2">
        <v>45970</v>
      </c>
      <c r="H457" s="3">
        <f>SUM(D:D)</f>
        <v>10447536600</v>
      </c>
      <c r="I457" s="4">
        <f>SUM(F:F)</f>
        <v>2099369250</v>
      </c>
      <c r="J457" s="4">
        <f>SUM(E:E)</f>
        <v>8348167350</v>
      </c>
      <c r="K457">
        <f>SUM(C:C)</f>
        <v>1017885</v>
      </c>
      <c r="L457">
        <f>MONTH(G:G)</f>
        <v>11</v>
      </c>
      <c r="M457">
        <f>YEAR(G:G)</f>
        <v>2025</v>
      </c>
    </row>
    <row r="458" spans="1:13" x14ac:dyDescent="0.25">
      <c r="A458" s="1" t="s">
        <v>20</v>
      </c>
      <c r="B458" s="1" t="s">
        <v>10</v>
      </c>
      <c r="C458">
        <v>2904</v>
      </c>
      <c r="D458">
        <v>10164000</v>
      </c>
      <c r="E458">
        <v>7550400</v>
      </c>
      <c r="F458">
        <v>2613600</v>
      </c>
      <c r="G458" s="2">
        <v>45995</v>
      </c>
      <c r="H458" s="3">
        <f>SUM(D:D)</f>
        <v>10447536600</v>
      </c>
      <c r="I458" s="4">
        <f>SUM(F:F)</f>
        <v>2099369250</v>
      </c>
      <c r="J458" s="4">
        <f>SUM(E:E)</f>
        <v>8348167350</v>
      </c>
      <c r="K458">
        <f>SUM(C:C)</f>
        <v>1017885</v>
      </c>
      <c r="L458">
        <f>MONTH(G:G)</f>
        <v>12</v>
      </c>
      <c r="M458">
        <f>YEAR(G:G)</f>
        <v>2025</v>
      </c>
    </row>
    <row r="459" spans="1:13" x14ac:dyDescent="0.25">
      <c r="A459" s="1" t="s">
        <v>16</v>
      </c>
      <c r="B459" s="1" t="s">
        <v>19</v>
      </c>
      <c r="C459">
        <v>414</v>
      </c>
      <c r="D459">
        <v>18630000</v>
      </c>
      <c r="E459">
        <v>15732000</v>
      </c>
      <c r="F459">
        <v>2898000</v>
      </c>
      <c r="G459" s="2">
        <v>46016</v>
      </c>
      <c r="H459" s="3">
        <f>SUM(D:D)</f>
        <v>10447536600</v>
      </c>
      <c r="I459" s="4">
        <f>SUM(F:F)</f>
        <v>2099369250</v>
      </c>
      <c r="J459" s="4">
        <f>SUM(E:E)</f>
        <v>8348167350</v>
      </c>
      <c r="K459">
        <f>SUM(C:C)</f>
        <v>1017885</v>
      </c>
      <c r="L459">
        <f>MONTH(G:G)</f>
        <v>12</v>
      </c>
      <c r="M459">
        <f>YEAR(G:G)</f>
        <v>2025</v>
      </c>
    </row>
    <row r="460" spans="1:13" x14ac:dyDescent="0.25">
      <c r="A460" s="1" t="s">
        <v>16</v>
      </c>
      <c r="B460" s="1" t="s">
        <v>12</v>
      </c>
      <c r="C460">
        <v>531</v>
      </c>
      <c r="D460">
        <v>637200</v>
      </c>
      <c r="E460">
        <v>451350</v>
      </c>
      <c r="F460">
        <v>185850</v>
      </c>
      <c r="G460" s="2">
        <v>46002</v>
      </c>
      <c r="H460" s="3">
        <f>SUM(D:D)</f>
        <v>10447536600</v>
      </c>
      <c r="I460" s="4">
        <f>SUM(F:F)</f>
        <v>2099369250</v>
      </c>
      <c r="J460" s="4">
        <f>SUM(E:E)</f>
        <v>8348167350</v>
      </c>
      <c r="K460">
        <f>SUM(C:C)</f>
        <v>1017885</v>
      </c>
      <c r="L460">
        <f>MONTH(G:G)</f>
        <v>12</v>
      </c>
      <c r="M460">
        <f>YEAR(G:G)</f>
        <v>2025</v>
      </c>
    </row>
    <row r="461" spans="1:13" x14ac:dyDescent="0.25">
      <c r="A461" s="1" t="s">
        <v>11</v>
      </c>
      <c r="B461" s="1" t="s">
        <v>23</v>
      </c>
      <c r="C461">
        <v>2563</v>
      </c>
      <c r="D461">
        <v>12815000</v>
      </c>
      <c r="E461">
        <v>10764600</v>
      </c>
      <c r="F461">
        <v>2050400</v>
      </c>
      <c r="G461" s="2">
        <v>46006</v>
      </c>
      <c r="H461" s="3">
        <f>SUM(D:D)</f>
        <v>10447536600</v>
      </c>
      <c r="I461" s="4">
        <f>SUM(F:F)</f>
        <v>2099369250</v>
      </c>
      <c r="J461" s="4">
        <f>SUM(E:E)</f>
        <v>8348167350</v>
      </c>
      <c r="K461">
        <f>SUM(C:C)</f>
        <v>1017885</v>
      </c>
      <c r="L461">
        <f>MONTH(G:G)</f>
        <v>12</v>
      </c>
      <c r="M461">
        <f>YEAR(G:G)</f>
        <v>2025</v>
      </c>
    </row>
    <row r="462" spans="1:13" x14ac:dyDescent="0.25">
      <c r="A462" s="1" t="s">
        <v>11</v>
      </c>
      <c r="B462" s="1" t="s">
        <v>10</v>
      </c>
      <c r="C462">
        <v>1171</v>
      </c>
      <c r="D462">
        <v>4098500</v>
      </c>
      <c r="E462">
        <v>3044600</v>
      </c>
      <c r="F462">
        <v>1053900</v>
      </c>
      <c r="G462" s="2">
        <v>46017</v>
      </c>
      <c r="H462" s="3">
        <f>SUM(D:D)</f>
        <v>10447536600</v>
      </c>
      <c r="I462" s="4">
        <f>SUM(F:F)</f>
        <v>2099369250</v>
      </c>
      <c r="J462" s="4">
        <f>SUM(E:E)</f>
        <v>8348167350</v>
      </c>
      <c r="K462">
        <f>SUM(C:C)</f>
        <v>1017885</v>
      </c>
      <c r="L462">
        <f>MONTH(G:G)</f>
        <v>12</v>
      </c>
      <c r="M462">
        <f>YEAR(G:G)</f>
        <v>2025</v>
      </c>
    </row>
    <row r="463" spans="1:13" x14ac:dyDescent="0.25">
      <c r="A463" s="1" t="s">
        <v>15</v>
      </c>
      <c r="B463" s="1" t="s">
        <v>10</v>
      </c>
      <c r="C463">
        <v>970</v>
      </c>
      <c r="D463">
        <v>3395000</v>
      </c>
      <c r="E463">
        <v>2522000</v>
      </c>
      <c r="F463">
        <v>873000</v>
      </c>
      <c r="G463" s="2">
        <v>46011</v>
      </c>
      <c r="H463" s="3">
        <f>SUM(D:D)</f>
        <v>10447536600</v>
      </c>
      <c r="I463" s="4">
        <f>SUM(F:F)</f>
        <v>2099369250</v>
      </c>
      <c r="J463" s="4">
        <f>SUM(E:E)</f>
        <v>8348167350</v>
      </c>
      <c r="K463">
        <f>SUM(C:C)</f>
        <v>1017885</v>
      </c>
      <c r="L463">
        <f>MONTH(G:G)</f>
        <v>12</v>
      </c>
      <c r="M463">
        <f>YEAR(G:G)</f>
        <v>2025</v>
      </c>
    </row>
    <row r="464" spans="1:13" x14ac:dyDescent="0.25">
      <c r="A464" s="1" t="s">
        <v>9</v>
      </c>
      <c r="B464" s="1" t="s">
        <v>8</v>
      </c>
      <c r="C464">
        <v>448</v>
      </c>
      <c r="D464">
        <v>1344000</v>
      </c>
      <c r="E464">
        <v>806400</v>
      </c>
      <c r="F464">
        <v>537600</v>
      </c>
      <c r="G464" s="2">
        <v>45999</v>
      </c>
      <c r="H464" s="3">
        <f>SUM(D:D)</f>
        <v>10447536600</v>
      </c>
      <c r="I464" s="4">
        <f>SUM(F:F)</f>
        <v>2099369250</v>
      </c>
      <c r="J464" s="4">
        <f>SUM(E:E)</f>
        <v>8348167350</v>
      </c>
      <c r="K464">
        <f>SUM(C:C)</f>
        <v>1017885</v>
      </c>
      <c r="L464">
        <f>MONTH(G:G)</f>
        <v>12</v>
      </c>
      <c r="M464">
        <f>YEAR(G:G)</f>
        <v>2025</v>
      </c>
    </row>
    <row r="465" spans="1:13" x14ac:dyDescent="0.25">
      <c r="A465" s="1" t="s">
        <v>20</v>
      </c>
      <c r="B465" s="1" t="s">
        <v>10</v>
      </c>
      <c r="C465">
        <v>1918</v>
      </c>
      <c r="D465">
        <v>6713000</v>
      </c>
      <c r="E465">
        <v>4986800</v>
      </c>
      <c r="F465">
        <v>1726200</v>
      </c>
      <c r="G465" s="2">
        <v>46018</v>
      </c>
      <c r="H465" s="3">
        <f>SUM(D:D)</f>
        <v>10447536600</v>
      </c>
      <c r="I465" s="4">
        <f>SUM(F:F)</f>
        <v>2099369250</v>
      </c>
      <c r="J465" s="4">
        <f>SUM(E:E)</f>
        <v>8348167350</v>
      </c>
      <c r="K465">
        <f>SUM(C:C)</f>
        <v>1017885</v>
      </c>
      <c r="L465">
        <f>MONTH(G:G)</f>
        <v>12</v>
      </c>
      <c r="M465">
        <f>YEAR(G:G)</f>
        <v>2025</v>
      </c>
    </row>
    <row r="466" spans="1:13" x14ac:dyDescent="0.25">
      <c r="A466" s="1" t="s">
        <v>22</v>
      </c>
      <c r="B466" s="1" t="s">
        <v>8</v>
      </c>
      <c r="C466">
        <v>71</v>
      </c>
      <c r="D466">
        <v>213000</v>
      </c>
      <c r="E466">
        <v>127800</v>
      </c>
      <c r="F466">
        <v>85200</v>
      </c>
      <c r="G466" s="2">
        <v>45994</v>
      </c>
      <c r="H466" s="3">
        <f>SUM(D:D)</f>
        <v>10447536600</v>
      </c>
      <c r="I466" s="4">
        <f>SUM(F:F)</f>
        <v>2099369250</v>
      </c>
      <c r="J466" s="4">
        <f>SUM(E:E)</f>
        <v>8348167350</v>
      </c>
      <c r="K466">
        <f>SUM(C:C)</f>
        <v>1017885</v>
      </c>
      <c r="L466">
        <f>MONTH(G:G)</f>
        <v>12</v>
      </c>
      <c r="M466">
        <f>YEAR(G:G)</f>
        <v>2025</v>
      </c>
    </row>
    <row r="467" spans="1:13" x14ac:dyDescent="0.25">
      <c r="A467" s="1" t="s">
        <v>18</v>
      </c>
      <c r="B467" s="1" t="s">
        <v>14</v>
      </c>
      <c r="C467">
        <v>88</v>
      </c>
      <c r="D467">
        <v>105600</v>
      </c>
      <c r="E467">
        <v>70400</v>
      </c>
      <c r="F467">
        <v>35200</v>
      </c>
      <c r="G467" s="2">
        <v>46006</v>
      </c>
      <c r="H467" s="3">
        <f>SUM(D:D)</f>
        <v>10447536600</v>
      </c>
      <c r="I467" s="4">
        <f>SUM(F:F)</f>
        <v>2099369250</v>
      </c>
      <c r="J467" s="4">
        <f>SUM(E:E)</f>
        <v>8348167350</v>
      </c>
      <c r="K467">
        <f>SUM(C:C)</f>
        <v>1017885</v>
      </c>
      <c r="L467">
        <f>MONTH(G:G)</f>
        <v>12</v>
      </c>
      <c r="M467">
        <f>YEAR(G:G)</f>
        <v>2025</v>
      </c>
    </row>
    <row r="468" spans="1:13" x14ac:dyDescent="0.25">
      <c r="A468" s="1" t="s">
        <v>13</v>
      </c>
      <c r="B468" s="1" t="s">
        <v>19</v>
      </c>
      <c r="C468">
        <v>1148</v>
      </c>
      <c r="D468">
        <v>51660000</v>
      </c>
      <c r="E468">
        <v>43624000</v>
      </c>
      <c r="F468">
        <v>8036000</v>
      </c>
      <c r="G468" s="2">
        <v>46017</v>
      </c>
      <c r="H468" s="3">
        <f>SUM(D:D)</f>
        <v>10447536600</v>
      </c>
      <c r="I468" s="4">
        <f>SUM(F:F)</f>
        <v>2099369250</v>
      </c>
      <c r="J468" s="4">
        <f>SUM(E:E)</f>
        <v>8348167350</v>
      </c>
      <c r="K468">
        <f>SUM(C:C)</f>
        <v>1017885</v>
      </c>
      <c r="L468">
        <f>MONTH(G:G)</f>
        <v>12</v>
      </c>
      <c r="M468">
        <f>YEAR(G:G)</f>
        <v>2025</v>
      </c>
    </row>
    <row r="469" spans="1:13" x14ac:dyDescent="0.25">
      <c r="A469" s="1" t="s">
        <v>13</v>
      </c>
      <c r="B469" s="1" t="s">
        <v>14</v>
      </c>
      <c r="C469">
        <v>2213</v>
      </c>
      <c r="D469">
        <v>2655600</v>
      </c>
      <c r="E469">
        <v>1770400</v>
      </c>
      <c r="F469">
        <v>885200</v>
      </c>
      <c r="G469" s="2">
        <v>45994</v>
      </c>
      <c r="H469" s="3">
        <f>SUM(D:D)</f>
        <v>10447536600</v>
      </c>
      <c r="I469" s="4">
        <f>SUM(F:F)</f>
        <v>2099369250</v>
      </c>
      <c r="J469" s="4">
        <f>SUM(E:E)</f>
        <v>8348167350</v>
      </c>
      <c r="K469">
        <f>SUM(C:C)</f>
        <v>1017885</v>
      </c>
      <c r="L469">
        <f>MONTH(G:G)</f>
        <v>12</v>
      </c>
      <c r="M469">
        <f>YEAR(G:G)</f>
        <v>2025</v>
      </c>
    </row>
    <row r="470" spans="1:13" x14ac:dyDescent="0.25">
      <c r="A470" s="1" t="s">
        <v>21</v>
      </c>
      <c r="B470" s="1" t="s">
        <v>19</v>
      </c>
      <c r="C470">
        <v>1341</v>
      </c>
      <c r="D470">
        <v>60345000</v>
      </c>
      <c r="E470">
        <v>50958000</v>
      </c>
      <c r="F470">
        <v>9387000</v>
      </c>
      <c r="G470" s="2">
        <v>46001</v>
      </c>
      <c r="H470" s="3">
        <f>SUM(D:D)</f>
        <v>10447536600</v>
      </c>
      <c r="I470" s="4">
        <f>SUM(F:F)</f>
        <v>2099369250</v>
      </c>
      <c r="J470" s="4">
        <f>SUM(E:E)</f>
        <v>8348167350</v>
      </c>
      <c r="K470">
        <f>SUM(C:C)</f>
        <v>1017885</v>
      </c>
      <c r="L470">
        <f>MONTH(G:G)</f>
        <v>12</v>
      </c>
      <c r="M470">
        <f>YEAR(G:G)</f>
        <v>2025</v>
      </c>
    </row>
    <row r="471" spans="1:13" x14ac:dyDescent="0.25">
      <c r="A471" s="1" t="s">
        <v>13</v>
      </c>
      <c r="B471" s="1" t="s">
        <v>12</v>
      </c>
      <c r="C471">
        <v>1672</v>
      </c>
      <c r="D471">
        <v>2006400</v>
      </c>
      <c r="E471">
        <v>1421200</v>
      </c>
      <c r="F471">
        <v>585200</v>
      </c>
      <c r="G471" s="2">
        <v>45995</v>
      </c>
      <c r="H471" s="3">
        <f>SUM(D:D)</f>
        <v>10447536600</v>
      </c>
      <c r="I471" s="4">
        <f>SUM(F:F)</f>
        <v>2099369250</v>
      </c>
      <c r="J471" s="4">
        <f>SUM(E:E)</f>
        <v>8348167350</v>
      </c>
      <c r="K471">
        <f>SUM(C:C)</f>
        <v>1017885</v>
      </c>
      <c r="L471">
        <f>MONTH(G:G)</f>
        <v>12</v>
      </c>
      <c r="M471">
        <f>YEAR(G:G)</f>
        <v>2025</v>
      </c>
    </row>
    <row r="472" spans="1:13" x14ac:dyDescent="0.25">
      <c r="A472" s="1" t="s">
        <v>21</v>
      </c>
      <c r="B472" s="1" t="s">
        <v>17</v>
      </c>
      <c r="C472">
        <v>553</v>
      </c>
      <c r="D472">
        <v>8295000</v>
      </c>
      <c r="E472">
        <v>6083000</v>
      </c>
      <c r="F472">
        <v>2212000</v>
      </c>
      <c r="G472" s="2">
        <v>46016</v>
      </c>
      <c r="H472" s="3">
        <f>SUM(D:D)</f>
        <v>10447536600</v>
      </c>
      <c r="I472" s="4">
        <f>SUM(F:F)</f>
        <v>2099369250</v>
      </c>
      <c r="J472" s="4">
        <f>SUM(E:E)</f>
        <v>8348167350</v>
      </c>
      <c r="K472">
        <f>SUM(C:C)</f>
        <v>1017885</v>
      </c>
      <c r="L472">
        <f>MONTH(G:G)</f>
        <v>12</v>
      </c>
      <c r="M472">
        <f>YEAR(G:G)</f>
        <v>2025</v>
      </c>
    </row>
    <row r="473" spans="1:13" x14ac:dyDescent="0.25">
      <c r="A473" s="1" t="s">
        <v>15</v>
      </c>
      <c r="B473" s="1" t="s">
        <v>14</v>
      </c>
      <c r="C473">
        <v>2916</v>
      </c>
      <c r="D473">
        <v>3499200</v>
      </c>
      <c r="E473">
        <v>2332800</v>
      </c>
      <c r="F473">
        <v>1166400</v>
      </c>
      <c r="G473" s="2">
        <v>46035</v>
      </c>
      <c r="H473" s="3">
        <f>SUM(D:D)</f>
        <v>10447536600</v>
      </c>
      <c r="I473" s="4">
        <f>SUM(F:F)</f>
        <v>2099369250</v>
      </c>
      <c r="J473" s="4">
        <f>SUM(E:E)</f>
        <v>8348167350</v>
      </c>
      <c r="K473">
        <f>SUM(C:C)</f>
        <v>1017885</v>
      </c>
      <c r="L473">
        <f>MONTH(G:G)</f>
        <v>1</v>
      </c>
      <c r="M473">
        <f>YEAR(G:G)</f>
        <v>2026</v>
      </c>
    </row>
    <row r="474" spans="1:13" x14ac:dyDescent="0.25">
      <c r="A474" s="1" t="s">
        <v>9</v>
      </c>
      <c r="B474" s="1" t="s">
        <v>23</v>
      </c>
      <c r="C474">
        <v>2393</v>
      </c>
      <c r="D474">
        <v>11965000</v>
      </c>
      <c r="E474">
        <v>10050600</v>
      </c>
      <c r="F474">
        <v>1914400</v>
      </c>
      <c r="G474" s="2">
        <v>46027</v>
      </c>
      <c r="H474" s="3">
        <f>SUM(D:D)</f>
        <v>10447536600</v>
      </c>
      <c r="I474" s="4">
        <f>SUM(F:F)</f>
        <v>2099369250</v>
      </c>
      <c r="J474" s="4">
        <f>SUM(E:E)</f>
        <v>8348167350</v>
      </c>
      <c r="K474">
        <f>SUM(C:C)</f>
        <v>1017885</v>
      </c>
      <c r="L474">
        <f>MONTH(G:G)</f>
        <v>1</v>
      </c>
      <c r="M474">
        <f>YEAR(G:G)</f>
        <v>2026</v>
      </c>
    </row>
    <row r="475" spans="1:13" x14ac:dyDescent="0.25">
      <c r="A475" s="1" t="s">
        <v>11</v>
      </c>
      <c r="B475" s="1" t="s">
        <v>19</v>
      </c>
      <c r="C475">
        <v>299</v>
      </c>
      <c r="D475">
        <v>13455000</v>
      </c>
      <c r="E475">
        <v>11362000</v>
      </c>
      <c r="F475">
        <v>2093000</v>
      </c>
      <c r="G475" s="2">
        <v>46042</v>
      </c>
      <c r="H475" s="3">
        <f>SUM(D:D)</f>
        <v>10447536600</v>
      </c>
      <c r="I475" s="4">
        <f>SUM(F:F)</f>
        <v>2099369250</v>
      </c>
      <c r="J475" s="4">
        <f>SUM(E:E)</f>
        <v>8348167350</v>
      </c>
      <c r="K475">
        <f>SUM(C:C)</f>
        <v>1017885</v>
      </c>
      <c r="L475">
        <f>MONTH(G:G)</f>
        <v>1</v>
      </c>
      <c r="M475">
        <f>YEAR(G:G)</f>
        <v>2026</v>
      </c>
    </row>
    <row r="476" spans="1:13" x14ac:dyDescent="0.25">
      <c r="A476" s="1" t="s">
        <v>21</v>
      </c>
      <c r="B476" s="1" t="s">
        <v>23</v>
      </c>
      <c r="C476">
        <v>195</v>
      </c>
      <c r="D476">
        <v>975000</v>
      </c>
      <c r="E476">
        <v>819000</v>
      </c>
      <c r="F476">
        <v>156000</v>
      </c>
      <c r="G476" s="2">
        <v>46035</v>
      </c>
      <c r="H476" s="3">
        <f>SUM(D:D)</f>
        <v>10447536600</v>
      </c>
      <c r="I476" s="4">
        <f>SUM(F:F)</f>
        <v>2099369250</v>
      </c>
      <c r="J476" s="4">
        <f>SUM(E:E)</f>
        <v>8348167350</v>
      </c>
      <c r="K476">
        <f>SUM(C:C)</f>
        <v>1017885</v>
      </c>
      <c r="L476">
        <f>MONTH(G:G)</f>
        <v>1</v>
      </c>
      <c r="M476">
        <f>YEAR(G:G)</f>
        <v>2026</v>
      </c>
    </row>
    <row r="477" spans="1:13" x14ac:dyDescent="0.25">
      <c r="A477" s="1" t="s">
        <v>9</v>
      </c>
      <c r="B477" s="1" t="s">
        <v>10</v>
      </c>
      <c r="C477">
        <v>2080</v>
      </c>
      <c r="D477">
        <v>7280000</v>
      </c>
      <c r="E477">
        <v>5408000</v>
      </c>
      <c r="F477">
        <v>1872000</v>
      </c>
      <c r="G477" s="2">
        <v>46029</v>
      </c>
      <c r="H477" s="3">
        <f>SUM(D:D)</f>
        <v>10447536600</v>
      </c>
      <c r="I477" s="4">
        <f>SUM(F:F)</f>
        <v>2099369250</v>
      </c>
      <c r="J477" s="4">
        <f>SUM(E:E)</f>
        <v>8348167350</v>
      </c>
      <c r="K477">
        <f>SUM(C:C)</f>
        <v>1017885</v>
      </c>
      <c r="L477">
        <f>MONTH(G:G)</f>
        <v>1</v>
      </c>
      <c r="M477">
        <f>YEAR(G:G)</f>
        <v>2026</v>
      </c>
    </row>
    <row r="478" spans="1:13" x14ac:dyDescent="0.25">
      <c r="A478" s="1" t="s">
        <v>7</v>
      </c>
      <c r="B478" s="1" t="s">
        <v>19</v>
      </c>
      <c r="C478">
        <v>1430</v>
      </c>
      <c r="D478">
        <v>64350000</v>
      </c>
      <c r="E478">
        <v>54340000</v>
      </c>
      <c r="F478">
        <v>10010000</v>
      </c>
      <c r="G478" s="2">
        <v>46040</v>
      </c>
      <c r="H478" s="3">
        <f>SUM(D:D)</f>
        <v>10447536600</v>
      </c>
      <c r="I478" s="4">
        <f>SUM(F:F)</f>
        <v>2099369250</v>
      </c>
      <c r="J478" s="4">
        <f>SUM(E:E)</f>
        <v>8348167350</v>
      </c>
      <c r="K478">
        <f>SUM(C:C)</f>
        <v>1017885</v>
      </c>
      <c r="L478">
        <f>MONTH(G:G)</f>
        <v>1</v>
      </c>
      <c r="M478">
        <f>YEAR(G:G)</f>
        <v>2026</v>
      </c>
    </row>
    <row r="479" spans="1:13" x14ac:dyDescent="0.25">
      <c r="A479" s="1" t="s">
        <v>22</v>
      </c>
      <c r="B479" s="1" t="s">
        <v>14</v>
      </c>
      <c r="C479">
        <v>2732</v>
      </c>
      <c r="D479">
        <v>3278400</v>
      </c>
      <c r="E479">
        <v>2185600</v>
      </c>
      <c r="F479">
        <v>1092800</v>
      </c>
      <c r="G479" s="2">
        <v>46052</v>
      </c>
      <c r="H479" s="3">
        <f>SUM(D:D)</f>
        <v>10447536600</v>
      </c>
      <c r="I479" s="4">
        <f>SUM(F:F)</f>
        <v>2099369250</v>
      </c>
      <c r="J479" s="4">
        <f>SUM(E:E)</f>
        <v>8348167350</v>
      </c>
      <c r="K479">
        <f>SUM(C:C)</f>
        <v>1017885</v>
      </c>
      <c r="L479">
        <f>MONTH(G:G)</f>
        <v>1</v>
      </c>
      <c r="M479">
        <f>YEAR(G:G)</f>
        <v>2026</v>
      </c>
    </row>
    <row r="480" spans="1:13" x14ac:dyDescent="0.25">
      <c r="A480" s="1" t="s">
        <v>20</v>
      </c>
      <c r="B480" s="1" t="s">
        <v>8</v>
      </c>
      <c r="C480">
        <v>621</v>
      </c>
      <c r="D480">
        <v>1863000</v>
      </c>
      <c r="E480">
        <v>1117800</v>
      </c>
      <c r="F480">
        <v>745200</v>
      </c>
      <c r="G480" s="2">
        <v>46033</v>
      </c>
      <c r="H480" s="3">
        <f>SUM(D:D)</f>
        <v>10447536600</v>
      </c>
      <c r="I480" s="4">
        <f>SUM(F:F)</f>
        <v>2099369250</v>
      </c>
      <c r="J480" s="4">
        <f>SUM(E:E)</f>
        <v>8348167350</v>
      </c>
      <c r="K480">
        <f>SUM(C:C)</f>
        <v>1017885</v>
      </c>
      <c r="L480">
        <f>MONTH(G:G)</f>
        <v>1</v>
      </c>
      <c r="M480">
        <f>YEAR(G:G)</f>
        <v>2026</v>
      </c>
    </row>
    <row r="481" spans="1:13" x14ac:dyDescent="0.25">
      <c r="A481" s="1" t="s">
        <v>11</v>
      </c>
      <c r="B481" s="1" t="s">
        <v>12</v>
      </c>
      <c r="C481">
        <v>812</v>
      </c>
      <c r="D481">
        <v>974400</v>
      </c>
      <c r="E481">
        <v>690200</v>
      </c>
      <c r="F481">
        <v>284200</v>
      </c>
      <c r="G481" s="2">
        <v>46035</v>
      </c>
      <c r="H481" s="3">
        <f>SUM(D:D)</f>
        <v>10447536600</v>
      </c>
      <c r="I481" s="4">
        <f>SUM(F:F)</f>
        <v>2099369250</v>
      </c>
      <c r="J481" s="4">
        <f>SUM(E:E)</f>
        <v>8348167350</v>
      </c>
      <c r="K481">
        <f>SUM(C:C)</f>
        <v>1017885</v>
      </c>
      <c r="L481">
        <f>MONTH(G:G)</f>
        <v>1</v>
      </c>
      <c r="M481">
        <f>YEAR(G:G)</f>
        <v>2026</v>
      </c>
    </row>
    <row r="482" spans="1:13" x14ac:dyDescent="0.25">
      <c r="A482" s="1" t="s">
        <v>13</v>
      </c>
      <c r="B482" s="1" t="s">
        <v>23</v>
      </c>
      <c r="C482">
        <v>936</v>
      </c>
      <c r="D482">
        <v>4680000</v>
      </c>
      <c r="E482">
        <v>3931200</v>
      </c>
      <c r="F482">
        <v>748800</v>
      </c>
      <c r="G482" s="2">
        <v>46050</v>
      </c>
      <c r="H482" s="3">
        <f>SUM(D:D)</f>
        <v>10447536600</v>
      </c>
      <c r="I482" s="4">
        <f>SUM(F:F)</f>
        <v>2099369250</v>
      </c>
      <c r="J482" s="4">
        <f>SUM(E:E)</f>
        <v>8348167350</v>
      </c>
      <c r="K482">
        <f>SUM(C:C)</f>
        <v>1017885</v>
      </c>
      <c r="L482">
        <f>MONTH(G:G)</f>
        <v>1</v>
      </c>
      <c r="M482">
        <f>YEAR(G:G)</f>
        <v>2026</v>
      </c>
    </row>
    <row r="483" spans="1:13" x14ac:dyDescent="0.25">
      <c r="A483" s="1" t="s">
        <v>13</v>
      </c>
      <c r="B483" s="1" t="s">
        <v>14</v>
      </c>
      <c r="C483">
        <v>2027</v>
      </c>
      <c r="D483">
        <v>2432400</v>
      </c>
      <c r="E483">
        <v>1621600</v>
      </c>
      <c r="F483">
        <v>810800</v>
      </c>
      <c r="G483" s="2">
        <v>46031</v>
      </c>
      <c r="H483" s="3">
        <f>SUM(D:D)</f>
        <v>10447536600</v>
      </c>
      <c r="I483" s="4">
        <f>SUM(F:F)</f>
        <v>2099369250</v>
      </c>
      <c r="J483" s="4">
        <f>SUM(E:E)</f>
        <v>8348167350</v>
      </c>
      <c r="K483">
        <f>SUM(C:C)</f>
        <v>1017885</v>
      </c>
      <c r="L483">
        <f>MONTH(G:G)</f>
        <v>1</v>
      </c>
      <c r="M483">
        <f>YEAR(G:G)</f>
        <v>2026</v>
      </c>
    </row>
    <row r="484" spans="1:13" x14ac:dyDescent="0.25">
      <c r="A484" s="1" t="s">
        <v>22</v>
      </c>
      <c r="B484" s="1" t="s">
        <v>8</v>
      </c>
      <c r="C484">
        <v>2118</v>
      </c>
      <c r="D484">
        <v>6354000</v>
      </c>
      <c r="E484">
        <v>3812400</v>
      </c>
      <c r="F484">
        <v>2541600</v>
      </c>
      <c r="G484" s="2">
        <v>46048</v>
      </c>
      <c r="H484" s="3">
        <f>SUM(D:D)</f>
        <v>10447536600</v>
      </c>
      <c r="I484" s="4">
        <f>SUM(F:F)</f>
        <v>2099369250</v>
      </c>
      <c r="J484" s="4">
        <f>SUM(E:E)</f>
        <v>8348167350</v>
      </c>
      <c r="K484">
        <f>SUM(C:C)</f>
        <v>1017885</v>
      </c>
      <c r="L484">
        <f>MONTH(G:G)</f>
        <v>1</v>
      </c>
      <c r="M484">
        <f>YEAR(G:G)</f>
        <v>2026</v>
      </c>
    </row>
    <row r="485" spans="1:13" x14ac:dyDescent="0.25">
      <c r="A485" s="1" t="s">
        <v>18</v>
      </c>
      <c r="B485" s="1" t="s">
        <v>23</v>
      </c>
      <c r="C485">
        <v>51</v>
      </c>
      <c r="D485">
        <v>255000</v>
      </c>
      <c r="E485">
        <v>214200</v>
      </c>
      <c r="F485">
        <v>40800</v>
      </c>
      <c r="G485" s="2">
        <v>46034</v>
      </c>
      <c r="H485" s="3">
        <f>SUM(D:D)</f>
        <v>10447536600</v>
      </c>
      <c r="I485" s="4">
        <f>SUM(F:F)</f>
        <v>2099369250</v>
      </c>
      <c r="J485" s="4">
        <f>SUM(E:E)</f>
        <v>8348167350</v>
      </c>
      <c r="K485">
        <f>SUM(C:C)</f>
        <v>1017885</v>
      </c>
      <c r="L485">
        <f>MONTH(G:G)</f>
        <v>1</v>
      </c>
      <c r="M485">
        <f>YEAR(G:G)</f>
        <v>2026</v>
      </c>
    </row>
    <row r="486" spans="1:13" x14ac:dyDescent="0.25">
      <c r="A486" s="1" t="s">
        <v>20</v>
      </c>
      <c r="B486" s="1" t="s">
        <v>10</v>
      </c>
      <c r="C486">
        <v>968</v>
      </c>
      <c r="D486">
        <v>3388000</v>
      </c>
      <c r="E486">
        <v>2516800</v>
      </c>
      <c r="F486">
        <v>871200</v>
      </c>
      <c r="G486" s="2">
        <v>46035</v>
      </c>
      <c r="H486" s="3">
        <f>SUM(D:D)</f>
        <v>10447536600</v>
      </c>
      <c r="I486" s="4">
        <f>SUM(F:F)</f>
        <v>2099369250</v>
      </c>
      <c r="J486" s="4">
        <f>SUM(E:E)</f>
        <v>8348167350</v>
      </c>
      <c r="K486">
        <f>SUM(C:C)</f>
        <v>1017885</v>
      </c>
      <c r="L486">
        <f>MONTH(G:G)</f>
        <v>1</v>
      </c>
      <c r="M486">
        <f>YEAR(G:G)</f>
        <v>2026</v>
      </c>
    </row>
    <row r="487" spans="1:13" x14ac:dyDescent="0.25">
      <c r="A487" s="1" t="s">
        <v>20</v>
      </c>
      <c r="B487" s="1" t="s">
        <v>12</v>
      </c>
      <c r="C487">
        <v>1383</v>
      </c>
      <c r="D487">
        <v>1659600</v>
      </c>
      <c r="E487">
        <v>1175550</v>
      </c>
      <c r="F487">
        <v>484050</v>
      </c>
      <c r="G487" s="2">
        <v>46072</v>
      </c>
      <c r="H487" s="3">
        <f>SUM(D:D)</f>
        <v>10447536600</v>
      </c>
      <c r="I487" s="4">
        <f>SUM(F:F)</f>
        <v>2099369250</v>
      </c>
      <c r="J487" s="4">
        <f>SUM(E:E)</f>
        <v>8348167350</v>
      </c>
      <c r="K487">
        <f>SUM(C:C)</f>
        <v>1017885</v>
      </c>
      <c r="L487">
        <f>MONTH(G:G)</f>
        <v>2</v>
      </c>
      <c r="M487">
        <f>YEAR(G:G)</f>
        <v>2026</v>
      </c>
    </row>
    <row r="488" spans="1:13" x14ac:dyDescent="0.25">
      <c r="A488" s="1" t="s">
        <v>18</v>
      </c>
      <c r="B488" s="1" t="s">
        <v>23</v>
      </c>
      <c r="C488">
        <v>1686</v>
      </c>
      <c r="D488">
        <v>8430000</v>
      </c>
      <c r="E488">
        <v>7081200</v>
      </c>
      <c r="F488">
        <v>1348800</v>
      </c>
      <c r="G488" s="2">
        <v>46074</v>
      </c>
      <c r="H488" s="3">
        <f>SUM(D:D)</f>
        <v>10447536600</v>
      </c>
      <c r="I488" s="4">
        <f>SUM(F:F)</f>
        <v>2099369250</v>
      </c>
      <c r="J488" s="4">
        <f>SUM(E:E)</f>
        <v>8348167350</v>
      </c>
      <c r="K488">
        <f>SUM(C:C)</f>
        <v>1017885</v>
      </c>
      <c r="L488">
        <f>MONTH(G:G)</f>
        <v>2</v>
      </c>
      <c r="M488">
        <f>YEAR(G:G)</f>
        <v>2026</v>
      </c>
    </row>
    <row r="489" spans="1:13" x14ac:dyDescent="0.25">
      <c r="A489" s="1" t="s">
        <v>22</v>
      </c>
      <c r="B489" s="1" t="s">
        <v>14</v>
      </c>
      <c r="C489">
        <v>538</v>
      </c>
      <c r="D489">
        <v>645600</v>
      </c>
      <c r="E489">
        <v>430400</v>
      </c>
      <c r="F489">
        <v>215200</v>
      </c>
      <c r="G489" s="2">
        <v>46080</v>
      </c>
      <c r="H489" s="3">
        <f>SUM(D:D)</f>
        <v>10447536600</v>
      </c>
      <c r="I489" s="4">
        <f>SUM(F:F)</f>
        <v>2099369250</v>
      </c>
      <c r="J489" s="4">
        <f>SUM(E:E)</f>
        <v>8348167350</v>
      </c>
      <c r="K489">
        <f>SUM(C:C)</f>
        <v>1017885</v>
      </c>
      <c r="L489">
        <f>MONTH(G:G)</f>
        <v>2</v>
      </c>
      <c r="M489">
        <f>YEAR(G:G)</f>
        <v>2026</v>
      </c>
    </row>
    <row r="490" spans="1:13" x14ac:dyDescent="0.25">
      <c r="A490" s="1" t="s">
        <v>7</v>
      </c>
      <c r="B490" s="1" t="s">
        <v>19</v>
      </c>
      <c r="C490">
        <v>827</v>
      </c>
      <c r="D490">
        <v>37215000</v>
      </c>
      <c r="E490">
        <v>31426000</v>
      </c>
      <c r="F490">
        <v>5789000</v>
      </c>
      <c r="G490" s="2">
        <v>46078</v>
      </c>
      <c r="H490" s="3">
        <f>SUM(D:D)</f>
        <v>10447536600</v>
      </c>
      <c r="I490" s="4">
        <f>SUM(F:F)</f>
        <v>2099369250</v>
      </c>
      <c r="J490" s="4">
        <f>SUM(E:E)</f>
        <v>8348167350</v>
      </c>
      <c r="K490">
        <f>SUM(C:C)</f>
        <v>1017885</v>
      </c>
      <c r="L490">
        <f>MONTH(G:G)</f>
        <v>2</v>
      </c>
      <c r="M490">
        <f>YEAR(G:G)</f>
        <v>2026</v>
      </c>
    </row>
    <row r="491" spans="1:13" x14ac:dyDescent="0.25">
      <c r="A491" s="1" t="s">
        <v>21</v>
      </c>
      <c r="B491" s="1" t="s">
        <v>14</v>
      </c>
      <c r="C491">
        <v>1312</v>
      </c>
      <c r="D491">
        <v>1574400</v>
      </c>
      <c r="E491">
        <v>1049600</v>
      </c>
      <c r="F491">
        <v>524800</v>
      </c>
      <c r="G491" s="2">
        <v>46061</v>
      </c>
      <c r="H491" s="3">
        <f>SUM(D:D)</f>
        <v>10447536600</v>
      </c>
      <c r="I491" s="4">
        <f>SUM(F:F)</f>
        <v>2099369250</v>
      </c>
      <c r="J491" s="4">
        <f>SUM(E:E)</f>
        <v>8348167350</v>
      </c>
      <c r="K491">
        <f>SUM(C:C)</f>
        <v>1017885</v>
      </c>
      <c r="L491">
        <f>MONTH(G:G)</f>
        <v>2</v>
      </c>
      <c r="M491">
        <f>YEAR(G:G)</f>
        <v>2026</v>
      </c>
    </row>
    <row r="492" spans="1:13" x14ac:dyDescent="0.25">
      <c r="A492" s="1" t="s">
        <v>21</v>
      </c>
      <c r="B492" s="1" t="s">
        <v>12</v>
      </c>
      <c r="C492">
        <v>759</v>
      </c>
      <c r="D492">
        <v>910800</v>
      </c>
      <c r="E492">
        <v>645150</v>
      </c>
      <c r="F492">
        <v>265650</v>
      </c>
      <c r="G492" s="2">
        <v>46067</v>
      </c>
      <c r="H492" s="3">
        <f>SUM(D:D)</f>
        <v>10447536600</v>
      </c>
      <c r="I492" s="4">
        <f>SUM(F:F)</f>
        <v>2099369250</v>
      </c>
      <c r="J492" s="4">
        <f>SUM(E:E)</f>
        <v>8348167350</v>
      </c>
      <c r="K492">
        <f>SUM(C:C)</f>
        <v>1017885</v>
      </c>
      <c r="L492">
        <f>MONTH(G:G)</f>
        <v>2</v>
      </c>
      <c r="M492">
        <f>YEAR(G:G)</f>
        <v>2026</v>
      </c>
    </row>
    <row r="493" spans="1:13" x14ac:dyDescent="0.25">
      <c r="A493" s="1" t="s">
        <v>20</v>
      </c>
      <c r="B493" s="1" t="s">
        <v>23</v>
      </c>
      <c r="C493">
        <v>2323</v>
      </c>
      <c r="D493">
        <v>11615000</v>
      </c>
      <c r="E493">
        <v>9756600</v>
      </c>
      <c r="F493">
        <v>1858400</v>
      </c>
      <c r="G493" s="2">
        <v>46061</v>
      </c>
      <c r="H493" s="3">
        <f>SUM(D:D)</f>
        <v>10447536600</v>
      </c>
      <c r="I493" s="4">
        <f>SUM(F:F)</f>
        <v>2099369250</v>
      </c>
      <c r="J493" s="4">
        <f>SUM(E:E)</f>
        <v>8348167350</v>
      </c>
      <c r="K493">
        <f>SUM(C:C)</f>
        <v>1017885</v>
      </c>
      <c r="L493">
        <f>MONTH(G:G)</f>
        <v>2</v>
      </c>
      <c r="M493">
        <f>YEAR(G:G)</f>
        <v>2026</v>
      </c>
    </row>
    <row r="494" spans="1:13" x14ac:dyDescent="0.25">
      <c r="A494" s="1" t="s">
        <v>9</v>
      </c>
      <c r="B494" s="1" t="s">
        <v>10</v>
      </c>
      <c r="C494">
        <v>830</v>
      </c>
      <c r="D494">
        <v>2905000</v>
      </c>
      <c r="E494">
        <v>2158000</v>
      </c>
      <c r="F494">
        <v>747000</v>
      </c>
      <c r="G494" s="2">
        <v>46075</v>
      </c>
      <c r="H494" s="3">
        <f>SUM(D:D)</f>
        <v>10447536600</v>
      </c>
      <c r="I494" s="4">
        <f>SUM(F:F)</f>
        <v>2099369250</v>
      </c>
      <c r="J494" s="4">
        <f>SUM(E:E)</f>
        <v>8348167350</v>
      </c>
      <c r="K494">
        <f>SUM(C:C)</f>
        <v>1017885</v>
      </c>
      <c r="L494">
        <f>MONTH(G:G)</f>
        <v>2</v>
      </c>
      <c r="M494">
        <f>YEAR(G:G)</f>
        <v>2026</v>
      </c>
    </row>
    <row r="495" spans="1:13" x14ac:dyDescent="0.25">
      <c r="A495" s="1" t="s">
        <v>21</v>
      </c>
      <c r="B495" s="1" t="s">
        <v>17</v>
      </c>
      <c r="C495">
        <v>1001</v>
      </c>
      <c r="D495">
        <v>15015000</v>
      </c>
      <c r="E495">
        <v>11011000</v>
      </c>
      <c r="F495">
        <v>4004000</v>
      </c>
      <c r="G495" s="2">
        <v>46061</v>
      </c>
      <c r="H495" s="3">
        <f>SUM(D:D)</f>
        <v>10447536600</v>
      </c>
      <c r="I495" s="4">
        <f>SUM(F:F)</f>
        <v>2099369250</v>
      </c>
      <c r="J495" s="4">
        <f>SUM(E:E)</f>
        <v>8348167350</v>
      </c>
      <c r="K495">
        <f>SUM(C:C)</f>
        <v>1017885</v>
      </c>
      <c r="L495">
        <f>MONTH(G:G)</f>
        <v>2</v>
      </c>
      <c r="M495">
        <f>YEAR(G:G)</f>
        <v>2026</v>
      </c>
    </row>
    <row r="496" spans="1:13" x14ac:dyDescent="0.25">
      <c r="A496" s="1" t="s">
        <v>16</v>
      </c>
      <c r="B496" s="1" t="s">
        <v>19</v>
      </c>
      <c r="C496">
        <v>2858</v>
      </c>
      <c r="D496">
        <v>128610000</v>
      </c>
      <c r="E496">
        <v>108604000</v>
      </c>
      <c r="F496">
        <v>20006000</v>
      </c>
      <c r="G496" s="2">
        <v>46069</v>
      </c>
      <c r="H496" s="3">
        <f>SUM(D:D)</f>
        <v>10447536600</v>
      </c>
      <c r="I496" s="4">
        <f>SUM(F:F)</f>
        <v>2099369250</v>
      </c>
      <c r="J496" s="4">
        <f>SUM(E:E)</f>
        <v>8348167350</v>
      </c>
      <c r="K496">
        <f>SUM(C:C)</f>
        <v>1017885</v>
      </c>
      <c r="L496">
        <f>MONTH(G:G)</f>
        <v>2</v>
      </c>
      <c r="M496">
        <f>YEAR(G:G)</f>
        <v>2026</v>
      </c>
    </row>
    <row r="497" spans="1:13" x14ac:dyDescent="0.25">
      <c r="A497" s="1" t="s">
        <v>18</v>
      </c>
      <c r="B497" s="1" t="s">
        <v>10</v>
      </c>
      <c r="C497">
        <v>1297</v>
      </c>
      <c r="D497">
        <v>4539500</v>
      </c>
      <c r="E497">
        <v>3372200</v>
      </c>
      <c r="F497">
        <v>1167300</v>
      </c>
      <c r="G497" s="2">
        <v>46055</v>
      </c>
      <c r="H497" s="3">
        <f>SUM(D:D)</f>
        <v>10447536600</v>
      </c>
      <c r="I497" s="4">
        <f>SUM(F:F)</f>
        <v>2099369250</v>
      </c>
      <c r="J497" s="4">
        <f>SUM(E:E)</f>
        <v>8348167350</v>
      </c>
      <c r="K497">
        <f>SUM(C:C)</f>
        <v>1017885</v>
      </c>
      <c r="L497">
        <f>MONTH(G:G)</f>
        <v>2</v>
      </c>
      <c r="M497">
        <f>YEAR(G:G)</f>
        <v>2026</v>
      </c>
    </row>
    <row r="498" spans="1:13" x14ac:dyDescent="0.25">
      <c r="A498" s="1" t="s">
        <v>22</v>
      </c>
      <c r="B498" s="1" t="s">
        <v>23</v>
      </c>
      <c r="C498">
        <v>1740</v>
      </c>
      <c r="D498">
        <v>8700000</v>
      </c>
      <c r="E498">
        <v>7308000</v>
      </c>
      <c r="F498">
        <v>1392000</v>
      </c>
      <c r="G498" s="2">
        <v>46076</v>
      </c>
      <c r="H498" s="3">
        <f>SUM(D:D)</f>
        <v>10447536600</v>
      </c>
      <c r="I498" s="4">
        <f>SUM(F:F)</f>
        <v>2099369250</v>
      </c>
      <c r="J498" s="4">
        <f>SUM(E:E)</f>
        <v>8348167350</v>
      </c>
      <c r="K498">
        <f>SUM(C:C)</f>
        <v>1017885</v>
      </c>
      <c r="L498">
        <f>MONTH(G:G)</f>
        <v>2</v>
      </c>
      <c r="M498">
        <f>YEAR(G:G)</f>
        <v>2026</v>
      </c>
    </row>
    <row r="499" spans="1:13" x14ac:dyDescent="0.25">
      <c r="A499" s="1" t="s">
        <v>13</v>
      </c>
      <c r="B499" s="1" t="s">
        <v>12</v>
      </c>
      <c r="C499">
        <v>2953</v>
      </c>
      <c r="D499">
        <v>3543600</v>
      </c>
      <c r="E499">
        <v>2510050</v>
      </c>
      <c r="F499">
        <v>1033550</v>
      </c>
      <c r="G499" s="2">
        <v>46059</v>
      </c>
      <c r="H499" s="3">
        <f>SUM(D:D)</f>
        <v>10447536600</v>
      </c>
      <c r="I499" s="4">
        <f>SUM(F:F)</f>
        <v>2099369250</v>
      </c>
      <c r="J499" s="4">
        <f>SUM(E:E)</f>
        <v>8348167350</v>
      </c>
      <c r="K499">
        <f>SUM(C:C)</f>
        <v>1017885</v>
      </c>
      <c r="L499">
        <f>MONTH(G:G)</f>
        <v>2</v>
      </c>
      <c r="M499">
        <f>YEAR(G:G)</f>
        <v>2026</v>
      </c>
    </row>
    <row r="500" spans="1:13" x14ac:dyDescent="0.25">
      <c r="A500" s="1" t="s">
        <v>18</v>
      </c>
      <c r="B500" s="1" t="s">
        <v>14</v>
      </c>
      <c r="C500">
        <v>2494</v>
      </c>
      <c r="D500">
        <v>2992800</v>
      </c>
      <c r="E500">
        <v>1995200</v>
      </c>
      <c r="F500">
        <v>997600</v>
      </c>
      <c r="G500" s="2">
        <v>46080</v>
      </c>
      <c r="H500" s="3">
        <f>SUM(D:D)</f>
        <v>10447536600</v>
      </c>
      <c r="I500" s="4">
        <f>SUM(F:F)</f>
        <v>2099369250</v>
      </c>
      <c r="J500" s="4">
        <f>SUM(E:E)</f>
        <v>8348167350</v>
      </c>
      <c r="K500">
        <f>SUM(C:C)</f>
        <v>1017885</v>
      </c>
      <c r="L500">
        <f>MONTH(G:G)</f>
        <v>2</v>
      </c>
      <c r="M500">
        <f>YEAR(G:G)</f>
        <v>2026</v>
      </c>
    </row>
    <row r="501" spans="1:13" x14ac:dyDescent="0.25">
      <c r="A501" s="1" t="s">
        <v>11</v>
      </c>
      <c r="B501" s="1" t="s">
        <v>14</v>
      </c>
      <c r="C501">
        <v>2254</v>
      </c>
      <c r="D501">
        <v>2704800</v>
      </c>
      <c r="E501">
        <v>1803200</v>
      </c>
      <c r="F501">
        <v>901600</v>
      </c>
      <c r="G501" s="2">
        <v>46067</v>
      </c>
      <c r="H501" s="3">
        <f>SUM(D:D)</f>
        <v>10447536600</v>
      </c>
      <c r="I501" s="4">
        <f>SUM(F:F)</f>
        <v>2099369250</v>
      </c>
      <c r="J501" s="4">
        <f>SUM(E:E)</f>
        <v>8348167350</v>
      </c>
      <c r="K501">
        <f>SUM(C:C)</f>
        <v>1017885</v>
      </c>
      <c r="L501">
        <f>MONTH(G:G)</f>
        <v>2</v>
      </c>
      <c r="M501">
        <f>YEAR(G:G)</f>
        <v>2026</v>
      </c>
    </row>
    <row r="502" spans="1:13" x14ac:dyDescent="0.25">
      <c r="A502" s="1" t="s">
        <v>20</v>
      </c>
      <c r="B502" s="1" t="s">
        <v>17</v>
      </c>
      <c r="C502">
        <v>2527</v>
      </c>
      <c r="D502">
        <v>37905000</v>
      </c>
      <c r="E502">
        <v>27797000</v>
      </c>
      <c r="F502">
        <v>10108000</v>
      </c>
      <c r="G502" s="2">
        <v>46064</v>
      </c>
      <c r="H502" s="3">
        <f>SUM(D:D)</f>
        <v>10447536600</v>
      </c>
      <c r="I502" s="4">
        <f>SUM(F:F)</f>
        <v>2099369250</v>
      </c>
      <c r="J502" s="4">
        <f>SUM(E:E)</f>
        <v>8348167350</v>
      </c>
      <c r="K502">
        <f>SUM(C:C)</f>
        <v>1017885</v>
      </c>
      <c r="L502">
        <f>MONTH(G:G)</f>
        <v>2</v>
      </c>
      <c r="M502">
        <f>YEAR(G:G)</f>
        <v>2026</v>
      </c>
    </row>
    <row r="503" spans="1:13" x14ac:dyDescent="0.25">
      <c r="A503" s="1" t="s">
        <v>13</v>
      </c>
      <c r="B503" s="1" t="s">
        <v>17</v>
      </c>
      <c r="C503">
        <v>2303</v>
      </c>
      <c r="D503">
        <v>34545000</v>
      </c>
      <c r="E503">
        <v>25333000</v>
      </c>
      <c r="F503">
        <v>9212000</v>
      </c>
      <c r="G503" s="2">
        <v>46058</v>
      </c>
      <c r="H503" s="3">
        <f>SUM(D:D)</f>
        <v>10447536600</v>
      </c>
      <c r="I503" s="4">
        <f>SUM(F:F)</f>
        <v>2099369250</v>
      </c>
      <c r="J503" s="4">
        <f>SUM(E:E)</f>
        <v>8348167350</v>
      </c>
      <c r="K503">
        <f>SUM(C:C)</f>
        <v>1017885</v>
      </c>
      <c r="L503">
        <f>MONTH(G:G)</f>
        <v>2</v>
      </c>
      <c r="M503">
        <f>YEAR(G:G)</f>
        <v>2026</v>
      </c>
    </row>
    <row r="504" spans="1:13" x14ac:dyDescent="0.25">
      <c r="A504" s="1" t="s">
        <v>7</v>
      </c>
      <c r="B504" s="1" t="s">
        <v>12</v>
      </c>
      <c r="C504">
        <v>1813</v>
      </c>
      <c r="D504">
        <v>2175600</v>
      </c>
      <c r="E504">
        <v>1541050</v>
      </c>
      <c r="F504">
        <v>634550</v>
      </c>
      <c r="G504" s="2">
        <v>46061</v>
      </c>
      <c r="H504" s="3">
        <f>SUM(D:D)</f>
        <v>10447536600</v>
      </c>
      <c r="I504" s="4">
        <f>SUM(F:F)</f>
        <v>2099369250</v>
      </c>
      <c r="J504" s="4">
        <f>SUM(E:E)</f>
        <v>8348167350</v>
      </c>
      <c r="K504">
        <f>SUM(C:C)</f>
        <v>1017885</v>
      </c>
      <c r="L504">
        <f>MONTH(G:G)</f>
        <v>2</v>
      </c>
      <c r="M504">
        <f>YEAR(G:G)</f>
        <v>2026</v>
      </c>
    </row>
    <row r="505" spans="1:13" x14ac:dyDescent="0.25">
      <c r="A505" s="1" t="s">
        <v>21</v>
      </c>
      <c r="B505" s="1" t="s">
        <v>23</v>
      </c>
      <c r="C505">
        <v>1751</v>
      </c>
      <c r="D505">
        <v>8755000</v>
      </c>
      <c r="E505">
        <v>7354200</v>
      </c>
      <c r="F505">
        <v>1400800</v>
      </c>
      <c r="G505" s="2">
        <v>46072</v>
      </c>
      <c r="H505" s="3">
        <f>SUM(D:D)</f>
        <v>10447536600</v>
      </c>
      <c r="I505" s="4">
        <f>SUM(F:F)</f>
        <v>2099369250</v>
      </c>
      <c r="J505" s="4">
        <f>SUM(E:E)</f>
        <v>8348167350</v>
      </c>
      <c r="K505">
        <f>SUM(C:C)</f>
        <v>1017885</v>
      </c>
      <c r="L505">
        <f>MONTH(G:G)</f>
        <v>2</v>
      </c>
      <c r="M505">
        <f>YEAR(G:G)</f>
        <v>2026</v>
      </c>
    </row>
    <row r="506" spans="1:13" x14ac:dyDescent="0.25">
      <c r="A506" s="1" t="s">
        <v>13</v>
      </c>
      <c r="B506" s="1" t="s">
        <v>14</v>
      </c>
      <c r="C506">
        <v>2483</v>
      </c>
      <c r="D506">
        <v>2979600</v>
      </c>
      <c r="E506">
        <v>1986400</v>
      </c>
      <c r="F506">
        <v>993200</v>
      </c>
      <c r="G506" s="2">
        <v>46074</v>
      </c>
      <c r="H506" s="3">
        <f>SUM(D:D)</f>
        <v>10447536600</v>
      </c>
      <c r="I506" s="4">
        <f>SUM(F:F)</f>
        <v>2099369250</v>
      </c>
      <c r="J506" s="4">
        <f>SUM(E:E)</f>
        <v>8348167350</v>
      </c>
      <c r="K506">
        <f>SUM(C:C)</f>
        <v>1017885</v>
      </c>
      <c r="L506">
        <f>MONTH(G:G)</f>
        <v>2</v>
      </c>
      <c r="M506">
        <f>YEAR(G:G)</f>
        <v>2026</v>
      </c>
    </row>
    <row r="507" spans="1:13" x14ac:dyDescent="0.25">
      <c r="A507" s="1" t="s">
        <v>21</v>
      </c>
      <c r="B507" s="1" t="s">
        <v>17</v>
      </c>
      <c r="C507">
        <v>2063</v>
      </c>
      <c r="D507">
        <v>30945000</v>
      </c>
      <c r="E507">
        <v>22693000</v>
      </c>
      <c r="F507">
        <v>8252000</v>
      </c>
      <c r="G507" s="2">
        <v>46081</v>
      </c>
      <c r="H507" s="3">
        <f>SUM(D:D)</f>
        <v>10447536600</v>
      </c>
      <c r="I507" s="4">
        <f>SUM(F:F)</f>
        <v>2099369250</v>
      </c>
      <c r="J507" s="4">
        <f>SUM(E:E)</f>
        <v>8348167350</v>
      </c>
      <c r="K507">
        <f>SUM(C:C)</f>
        <v>1017885</v>
      </c>
      <c r="L507">
        <f>MONTH(G:G)</f>
        <v>2</v>
      </c>
      <c r="M507">
        <f>YEAR(G:G)</f>
        <v>2026</v>
      </c>
    </row>
    <row r="508" spans="1:13" x14ac:dyDescent="0.25">
      <c r="A508" s="1" t="s">
        <v>9</v>
      </c>
      <c r="B508" s="1" t="s">
        <v>12</v>
      </c>
      <c r="C508">
        <v>1374</v>
      </c>
      <c r="D508">
        <v>1648800</v>
      </c>
      <c r="E508">
        <v>1167900</v>
      </c>
      <c r="F508">
        <v>480900</v>
      </c>
      <c r="G508" s="2">
        <v>46071</v>
      </c>
      <c r="H508" s="3">
        <f>SUM(D:D)</f>
        <v>10447536600</v>
      </c>
      <c r="I508" s="4">
        <f>SUM(F:F)</f>
        <v>2099369250</v>
      </c>
      <c r="J508" s="4">
        <f>SUM(E:E)</f>
        <v>8348167350</v>
      </c>
      <c r="K508">
        <f>SUM(C:C)</f>
        <v>1017885</v>
      </c>
      <c r="L508">
        <f>MONTH(G:G)</f>
        <v>2</v>
      </c>
      <c r="M508">
        <f>YEAR(G:G)</f>
        <v>2026</v>
      </c>
    </row>
    <row r="509" spans="1:13" x14ac:dyDescent="0.25">
      <c r="A509" s="1" t="s">
        <v>7</v>
      </c>
      <c r="B509" s="1" t="s">
        <v>19</v>
      </c>
      <c r="C509">
        <v>2189</v>
      </c>
      <c r="D509">
        <v>98505000</v>
      </c>
      <c r="E509">
        <v>83182000</v>
      </c>
      <c r="F509">
        <v>15323000</v>
      </c>
      <c r="G509" s="2">
        <v>46061</v>
      </c>
      <c r="H509" s="3">
        <f>SUM(D:D)</f>
        <v>10447536600</v>
      </c>
      <c r="I509" s="4">
        <f>SUM(F:F)</f>
        <v>2099369250</v>
      </c>
      <c r="J509" s="4">
        <f>SUM(E:E)</f>
        <v>8348167350</v>
      </c>
      <c r="K509">
        <f>SUM(C:C)</f>
        <v>1017885</v>
      </c>
      <c r="L509">
        <f>MONTH(G:G)</f>
        <v>2</v>
      </c>
      <c r="M509">
        <f>YEAR(G:G)</f>
        <v>2026</v>
      </c>
    </row>
    <row r="510" spans="1:13" x14ac:dyDescent="0.25">
      <c r="A510" s="1" t="s">
        <v>16</v>
      </c>
      <c r="B510" s="1" t="s">
        <v>14</v>
      </c>
      <c r="C510">
        <v>361</v>
      </c>
      <c r="D510">
        <v>433200</v>
      </c>
      <c r="E510">
        <v>288800</v>
      </c>
      <c r="F510">
        <v>144400</v>
      </c>
      <c r="G510" s="2">
        <v>46057</v>
      </c>
      <c r="H510" s="3">
        <f>SUM(D:D)</f>
        <v>10447536600</v>
      </c>
      <c r="I510" s="4">
        <f>SUM(F:F)</f>
        <v>2099369250</v>
      </c>
      <c r="J510" s="4">
        <f>SUM(E:E)</f>
        <v>8348167350</v>
      </c>
      <c r="K510">
        <f>SUM(C:C)</f>
        <v>1017885</v>
      </c>
      <c r="L510">
        <f>MONTH(G:G)</f>
        <v>2</v>
      </c>
      <c r="M510">
        <f>YEAR(G:G)</f>
        <v>2026</v>
      </c>
    </row>
    <row r="511" spans="1:13" x14ac:dyDescent="0.25">
      <c r="A511" s="1" t="s">
        <v>18</v>
      </c>
      <c r="B511" s="1" t="s">
        <v>12</v>
      </c>
      <c r="C511">
        <v>565</v>
      </c>
      <c r="D511">
        <v>678000</v>
      </c>
      <c r="E511">
        <v>480250</v>
      </c>
      <c r="F511">
        <v>197750</v>
      </c>
      <c r="G511" s="2">
        <v>46054</v>
      </c>
      <c r="H511" s="3">
        <f>SUM(D:D)</f>
        <v>10447536600</v>
      </c>
      <c r="I511" s="4">
        <f>SUM(F:F)</f>
        <v>2099369250</v>
      </c>
      <c r="J511" s="4">
        <f>SUM(E:E)</f>
        <v>8348167350</v>
      </c>
      <c r="K511">
        <f>SUM(C:C)</f>
        <v>1017885</v>
      </c>
      <c r="L511">
        <f>MONTH(G:G)</f>
        <v>2</v>
      </c>
      <c r="M511">
        <f>YEAR(G:G)</f>
        <v>2026</v>
      </c>
    </row>
    <row r="512" spans="1:13" x14ac:dyDescent="0.25">
      <c r="A512" s="1" t="s">
        <v>21</v>
      </c>
      <c r="B512" s="1" t="s">
        <v>8</v>
      </c>
      <c r="C512">
        <v>1437</v>
      </c>
      <c r="D512">
        <v>4311000</v>
      </c>
      <c r="E512">
        <v>2586600</v>
      </c>
      <c r="F512">
        <v>1724400</v>
      </c>
      <c r="G512" s="2">
        <v>46054</v>
      </c>
      <c r="H512" s="3">
        <f>SUM(D:D)</f>
        <v>10447536600</v>
      </c>
      <c r="I512" s="4">
        <f>SUM(F:F)</f>
        <v>2099369250</v>
      </c>
      <c r="J512" s="4">
        <f>SUM(E:E)</f>
        <v>8348167350</v>
      </c>
      <c r="K512">
        <f>SUM(C:C)</f>
        <v>1017885</v>
      </c>
      <c r="L512">
        <f>MONTH(G:G)</f>
        <v>2</v>
      </c>
      <c r="M512">
        <f>YEAR(G:G)</f>
        <v>2026</v>
      </c>
    </row>
    <row r="513" spans="1:13" x14ac:dyDescent="0.25">
      <c r="A513" s="1" t="s">
        <v>20</v>
      </c>
      <c r="B513" s="1" t="s">
        <v>10</v>
      </c>
      <c r="C513">
        <v>357</v>
      </c>
      <c r="D513">
        <v>1249500</v>
      </c>
      <c r="E513">
        <v>928200</v>
      </c>
      <c r="F513">
        <v>321300</v>
      </c>
      <c r="G513" s="2">
        <v>46073</v>
      </c>
      <c r="H513" s="3">
        <f>SUM(D:D)</f>
        <v>10447536600</v>
      </c>
      <c r="I513" s="4">
        <f>SUM(F:F)</f>
        <v>2099369250</v>
      </c>
      <c r="J513" s="4">
        <f>SUM(E:E)</f>
        <v>8348167350</v>
      </c>
      <c r="K513">
        <f>SUM(C:C)</f>
        <v>1017885</v>
      </c>
      <c r="L513">
        <f>MONTH(G:G)</f>
        <v>2</v>
      </c>
      <c r="M513">
        <f>YEAR(G:G)</f>
        <v>2026</v>
      </c>
    </row>
    <row r="514" spans="1:13" x14ac:dyDescent="0.25">
      <c r="A514" s="1" t="s">
        <v>13</v>
      </c>
      <c r="B514" s="1" t="s">
        <v>14</v>
      </c>
      <c r="C514">
        <v>2766</v>
      </c>
      <c r="D514">
        <v>3319200</v>
      </c>
      <c r="E514">
        <v>2212800</v>
      </c>
      <c r="F514">
        <v>1106400</v>
      </c>
      <c r="G514" s="2">
        <v>46065</v>
      </c>
      <c r="H514" s="3">
        <f>SUM(D:D)</f>
        <v>10447536600</v>
      </c>
      <c r="I514" s="4">
        <f>SUM(F:F)</f>
        <v>2099369250</v>
      </c>
      <c r="J514" s="4">
        <f>SUM(E:E)</f>
        <v>8348167350</v>
      </c>
      <c r="K514">
        <f>SUM(C:C)</f>
        <v>1017885</v>
      </c>
      <c r="L514">
        <f>MONTH(G:G)</f>
        <v>2</v>
      </c>
      <c r="M514">
        <f>YEAR(G:G)</f>
        <v>2026</v>
      </c>
    </row>
    <row r="515" spans="1:13" x14ac:dyDescent="0.25">
      <c r="A515" s="1" t="s">
        <v>13</v>
      </c>
      <c r="B515" s="1" t="s">
        <v>8</v>
      </c>
      <c r="C515">
        <v>78</v>
      </c>
      <c r="D515">
        <v>234000</v>
      </c>
      <c r="E515">
        <v>140400</v>
      </c>
      <c r="F515">
        <v>93600</v>
      </c>
      <c r="G515" s="2">
        <v>46105</v>
      </c>
      <c r="H515" s="3">
        <f>SUM(D:D)</f>
        <v>10447536600</v>
      </c>
      <c r="I515" s="4">
        <f>SUM(F:F)</f>
        <v>2099369250</v>
      </c>
      <c r="J515" s="4">
        <f>SUM(E:E)</f>
        <v>8348167350</v>
      </c>
      <c r="K515">
        <f>SUM(C:C)</f>
        <v>1017885</v>
      </c>
      <c r="L515">
        <f>MONTH(G:G)</f>
        <v>3</v>
      </c>
      <c r="M515">
        <f>YEAR(G:G)</f>
        <v>2026</v>
      </c>
    </row>
    <row r="516" spans="1:13" x14ac:dyDescent="0.25">
      <c r="A516" s="1" t="s">
        <v>9</v>
      </c>
      <c r="B516" s="1" t="s">
        <v>17</v>
      </c>
      <c r="C516">
        <v>198</v>
      </c>
      <c r="D516">
        <v>2970000</v>
      </c>
      <c r="E516">
        <v>2178000</v>
      </c>
      <c r="F516">
        <v>792000</v>
      </c>
      <c r="G516" s="2">
        <v>46092</v>
      </c>
      <c r="H516" s="3">
        <f>SUM(D:D)</f>
        <v>10447536600</v>
      </c>
      <c r="I516" s="4">
        <f>SUM(F:F)</f>
        <v>2099369250</v>
      </c>
      <c r="J516" s="4">
        <f>SUM(E:E)</f>
        <v>8348167350</v>
      </c>
      <c r="K516">
        <f>SUM(C:C)</f>
        <v>1017885</v>
      </c>
      <c r="L516">
        <f>MONTH(G:G)</f>
        <v>3</v>
      </c>
      <c r="M516">
        <f>YEAR(G:G)</f>
        <v>2026</v>
      </c>
    </row>
    <row r="517" spans="1:13" x14ac:dyDescent="0.25">
      <c r="A517" s="1" t="s">
        <v>21</v>
      </c>
      <c r="B517" s="1" t="s">
        <v>10</v>
      </c>
      <c r="C517">
        <v>157</v>
      </c>
      <c r="D517">
        <v>549500</v>
      </c>
      <c r="E517">
        <v>408200</v>
      </c>
      <c r="F517">
        <v>141300</v>
      </c>
      <c r="G517" s="2">
        <v>46107</v>
      </c>
      <c r="H517" s="3">
        <f>SUM(D:D)</f>
        <v>10447536600</v>
      </c>
      <c r="I517" s="4">
        <f>SUM(F:F)</f>
        <v>2099369250</v>
      </c>
      <c r="J517" s="4">
        <f>SUM(E:E)</f>
        <v>8348167350</v>
      </c>
      <c r="K517">
        <f>SUM(C:C)</f>
        <v>1017885</v>
      </c>
      <c r="L517">
        <f>MONTH(G:G)</f>
        <v>3</v>
      </c>
      <c r="M517">
        <f>YEAR(G:G)</f>
        <v>2026</v>
      </c>
    </row>
    <row r="518" spans="1:13" x14ac:dyDescent="0.25">
      <c r="A518" s="1" t="s">
        <v>13</v>
      </c>
      <c r="B518" s="1" t="s">
        <v>19</v>
      </c>
      <c r="C518">
        <v>1273</v>
      </c>
      <c r="D518">
        <v>57285000</v>
      </c>
      <c r="E518">
        <v>48374000</v>
      </c>
      <c r="F518">
        <v>8911000</v>
      </c>
      <c r="G518" s="2">
        <v>46084</v>
      </c>
      <c r="H518" s="3">
        <f>SUM(D:D)</f>
        <v>10447536600</v>
      </c>
      <c r="I518" s="4">
        <f>SUM(F:F)</f>
        <v>2099369250</v>
      </c>
      <c r="J518" s="4">
        <f>SUM(E:E)</f>
        <v>8348167350</v>
      </c>
      <c r="K518">
        <f>SUM(C:C)</f>
        <v>1017885</v>
      </c>
      <c r="L518">
        <f>MONTH(G:G)</f>
        <v>3</v>
      </c>
      <c r="M518">
        <f>YEAR(G:G)</f>
        <v>2026</v>
      </c>
    </row>
    <row r="519" spans="1:13" x14ac:dyDescent="0.25">
      <c r="A519" s="1" t="s">
        <v>15</v>
      </c>
      <c r="B519" s="1" t="s">
        <v>8</v>
      </c>
      <c r="C519">
        <v>1007</v>
      </c>
      <c r="D519">
        <v>3021000</v>
      </c>
      <c r="E519">
        <v>1812600</v>
      </c>
      <c r="F519">
        <v>1208400</v>
      </c>
      <c r="G519" s="2">
        <v>46096</v>
      </c>
      <c r="H519" s="3">
        <f>SUM(D:D)</f>
        <v>10447536600</v>
      </c>
      <c r="I519" s="4">
        <f>SUM(F:F)</f>
        <v>2099369250</v>
      </c>
      <c r="J519" s="4">
        <f>SUM(E:E)</f>
        <v>8348167350</v>
      </c>
      <c r="K519">
        <f>SUM(C:C)</f>
        <v>1017885</v>
      </c>
      <c r="L519">
        <f>MONTH(G:G)</f>
        <v>3</v>
      </c>
      <c r="M519">
        <f>YEAR(G:G)</f>
        <v>2026</v>
      </c>
    </row>
    <row r="520" spans="1:13" x14ac:dyDescent="0.25">
      <c r="A520" s="1" t="s">
        <v>16</v>
      </c>
      <c r="B520" s="1" t="s">
        <v>8</v>
      </c>
      <c r="C520">
        <v>52</v>
      </c>
      <c r="D520">
        <v>156000</v>
      </c>
      <c r="E520">
        <v>93600</v>
      </c>
      <c r="F520">
        <v>62400</v>
      </c>
      <c r="G520" s="2">
        <v>46091</v>
      </c>
      <c r="H520" s="3">
        <f>SUM(D:D)</f>
        <v>10447536600</v>
      </c>
      <c r="I520" s="4">
        <f>SUM(F:F)</f>
        <v>2099369250</v>
      </c>
      <c r="J520" s="4">
        <f>SUM(E:E)</f>
        <v>8348167350</v>
      </c>
      <c r="K520">
        <f>SUM(C:C)</f>
        <v>1017885</v>
      </c>
      <c r="L520">
        <f>MONTH(G:G)</f>
        <v>3</v>
      </c>
      <c r="M520">
        <f>YEAR(G:G)</f>
        <v>2026</v>
      </c>
    </row>
    <row r="521" spans="1:13" x14ac:dyDescent="0.25">
      <c r="A521" s="1" t="s">
        <v>9</v>
      </c>
      <c r="B521" s="1" t="s">
        <v>17</v>
      </c>
      <c r="C521">
        <v>1187</v>
      </c>
      <c r="D521">
        <v>17805000</v>
      </c>
      <c r="E521">
        <v>13057000</v>
      </c>
      <c r="F521">
        <v>4748000</v>
      </c>
      <c r="G521" s="2">
        <v>46084</v>
      </c>
      <c r="H521" s="3">
        <f>SUM(D:D)</f>
        <v>10447536600</v>
      </c>
      <c r="I521" s="4">
        <f>SUM(F:F)</f>
        <v>2099369250</v>
      </c>
      <c r="J521" s="4">
        <f>SUM(E:E)</f>
        <v>8348167350</v>
      </c>
      <c r="K521">
        <f>SUM(C:C)</f>
        <v>1017885</v>
      </c>
      <c r="L521">
        <f>MONTH(G:G)</f>
        <v>3</v>
      </c>
      <c r="M521">
        <f>YEAR(G:G)</f>
        <v>2026</v>
      </c>
    </row>
    <row r="522" spans="1:13" x14ac:dyDescent="0.25">
      <c r="A522" s="1" t="s">
        <v>11</v>
      </c>
      <c r="B522" s="1" t="s">
        <v>23</v>
      </c>
      <c r="C522">
        <v>1306</v>
      </c>
      <c r="D522">
        <v>6530000</v>
      </c>
      <c r="E522">
        <v>5485200</v>
      </c>
      <c r="F522">
        <v>1044800</v>
      </c>
      <c r="G522" s="2">
        <v>46111</v>
      </c>
      <c r="H522" s="3">
        <f>SUM(D:D)</f>
        <v>10447536600</v>
      </c>
      <c r="I522" s="4">
        <f>SUM(F:F)</f>
        <v>2099369250</v>
      </c>
      <c r="J522" s="4">
        <f>SUM(E:E)</f>
        <v>8348167350</v>
      </c>
      <c r="K522">
        <f>SUM(C:C)</f>
        <v>1017885</v>
      </c>
      <c r="L522">
        <f>MONTH(G:G)</f>
        <v>3</v>
      </c>
      <c r="M522">
        <f>YEAR(G:G)</f>
        <v>2026</v>
      </c>
    </row>
    <row r="523" spans="1:13" x14ac:dyDescent="0.25">
      <c r="A523" s="1" t="s">
        <v>21</v>
      </c>
      <c r="B523" s="1" t="s">
        <v>17</v>
      </c>
      <c r="C523">
        <v>2114</v>
      </c>
      <c r="D523">
        <v>31710000</v>
      </c>
      <c r="E523">
        <v>23254000</v>
      </c>
      <c r="F523">
        <v>8456000</v>
      </c>
      <c r="G523" s="2">
        <v>46111</v>
      </c>
      <c r="H523" s="3">
        <f>SUM(D:D)</f>
        <v>10447536600</v>
      </c>
      <c r="I523" s="4">
        <f>SUM(F:F)</f>
        <v>2099369250</v>
      </c>
      <c r="J523" s="4">
        <f>SUM(E:E)</f>
        <v>8348167350</v>
      </c>
      <c r="K523">
        <f>SUM(C:C)</f>
        <v>1017885</v>
      </c>
      <c r="L523">
        <f>MONTH(G:G)</f>
        <v>3</v>
      </c>
      <c r="M523">
        <f>YEAR(G:G)</f>
        <v>2026</v>
      </c>
    </row>
    <row r="524" spans="1:13" x14ac:dyDescent="0.25">
      <c r="A524" s="1" t="s">
        <v>21</v>
      </c>
      <c r="B524" s="1" t="s">
        <v>17</v>
      </c>
      <c r="C524">
        <v>2894</v>
      </c>
      <c r="D524">
        <v>43410000</v>
      </c>
      <c r="E524">
        <v>31834000</v>
      </c>
      <c r="F524">
        <v>11576000</v>
      </c>
      <c r="G524" s="2">
        <v>46093</v>
      </c>
      <c r="H524" s="3">
        <f>SUM(D:D)</f>
        <v>10447536600</v>
      </c>
      <c r="I524" s="4">
        <f>SUM(F:F)</f>
        <v>2099369250</v>
      </c>
      <c r="J524" s="4">
        <f>SUM(E:E)</f>
        <v>8348167350</v>
      </c>
      <c r="K524">
        <f>SUM(C:C)</f>
        <v>1017885</v>
      </c>
      <c r="L524">
        <f>MONTH(G:G)</f>
        <v>3</v>
      </c>
      <c r="M524">
        <f>YEAR(G:G)</f>
        <v>2026</v>
      </c>
    </row>
    <row r="525" spans="1:13" x14ac:dyDescent="0.25">
      <c r="A525" s="1" t="s">
        <v>16</v>
      </c>
      <c r="B525" s="1" t="s">
        <v>14</v>
      </c>
      <c r="C525">
        <v>602</v>
      </c>
      <c r="D525">
        <v>722400</v>
      </c>
      <c r="E525">
        <v>481600</v>
      </c>
      <c r="F525">
        <v>240800</v>
      </c>
      <c r="G525" s="2">
        <v>46083</v>
      </c>
      <c r="H525" s="3">
        <f>SUM(D:D)</f>
        <v>10447536600</v>
      </c>
      <c r="I525" s="4">
        <f>SUM(F:F)</f>
        <v>2099369250</v>
      </c>
      <c r="J525" s="4">
        <f>SUM(E:E)</f>
        <v>8348167350</v>
      </c>
      <c r="K525">
        <f>SUM(C:C)</f>
        <v>1017885</v>
      </c>
      <c r="L525">
        <f>MONTH(G:G)</f>
        <v>3</v>
      </c>
      <c r="M525">
        <f>YEAR(G:G)</f>
        <v>2026</v>
      </c>
    </row>
    <row r="526" spans="1:13" x14ac:dyDescent="0.25">
      <c r="A526" s="1" t="s">
        <v>9</v>
      </c>
      <c r="B526" s="1" t="s">
        <v>14</v>
      </c>
      <c r="C526">
        <v>1575</v>
      </c>
      <c r="D526">
        <v>1890000</v>
      </c>
      <c r="E526">
        <v>1260000</v>
      </c>
      <c r="F526">
        <v>630000</v>
      </c>
      <c r="G526" s="2">
        <v>46100</v>
      </c>
      <c r="H526" s="3">
        <f>SUM(D:D)</f>
        <v>10447536600</v>
      </c>
      <c r="I526" s="4">
        <f>SUM(F:F)</f>
        <v>2099369250</v>
      </c>
      <c r="J526" s="4">
        <f>SUM(E:E)</f>
        <v>8348167350</v>
      </c>
      <c r="K526">
        <f>SUM(C:C)</f>
        <v>1017885</v>
      </c>
      <c r="L526">
        <f>MONTH(G:G)</f>
        <v>3</v>
      </c>
      <c r="M526">
        <f>YEAR(G:G)</f>
        <v>2026</v>
      </c>
    </row>
    <row r="527" spans="1:13" x14ac:dyDescent="0.25">
      <c r="A527" s="1" t="s">
        <v>7</v>
      </c>
      <c r="B527" s="1" t="s">
        <v>14</v>
      </c>
      <c r="C527">
        <v>1835</v>
      </c>
      <c r="D527">
        <v>2202000</v>
      </c>
      <c r="E527">
        <v>1468000</v>
      </c>
      <c r="F527">
        <v>734000</v>
      </c>
      <c r="G527" s="2">
        <v>46142</v>
      </c>
      <c r="H527" s="3">
        <f>SUM(D:D)</f>
        <v>10447536600</v>
      </c>
      <c r="I527" s="4">
        <f>SUM(F:F)</f>
        <v>2099369250</v>
      </c>
      <c r="J527" s="4">
        <f>SUM(E:E)</f>
        <v>8348167350</v>
      </c>
      <c r="K527">
        <f>SUM(C:C)</f>
        <v>1017885</v>
      </c>
      <c r="L527">
        <f>MONTH(G:G)</f>
        <v>4</v>
      </c>
      <c r="M527">
        <f>YEAR(G:G)</f>
        <v>2026</v>
      </c>
    </row>
    <row r="528" spans="1:13" x14ac:dyDescent="0.25">
      <c r="A528" s="1" t="s">
        <v>9</v>
      </c>
      <c r="B528" s="1" t="s">
        <v>19</v>
      </c>
      <c r="C528">
        <v>800</v>
      </c>
      <c r="D528">
        <v>36000000</v>
      </c>
      <c r="E528">
        <v>30400000</v>
      </c>
      <c r="F528">
        <v>5600000</v>
      </c>
      <c r="G528" s="2">
        <v>46113</v>
      </c>
      <c r="H528" s="3">
        <f>SUM(D:D)</f>
        <v>10447536600</v>
      </c>
      <c r="I528" s="4">
        <f>SUM(F:F)</f>
        <v>2099369250</v>
      </c>
      <c r="J528" s="4">
        <f>SUM(E:E)</f>
        <v>8348167350</v>
      </c>
      <c r="K528">
        <f>SUM(C:C)</f>
        <v>1017885</v>
      </c>
      <c r="L528">
        <f>MONTH(G:G)</f>
        <v>4</v>
      </c>
      <c r="M528">
        <f>YEAR(G:G)</f>
        <v>2026</v>
      </c>
    </row>
    <row r="529" spans="1:13" x14ac:dyDescent="0.25">
      <c r="A529" s="1" t="s">
        <v>22</v>
      </c>
      <c r="B529" s="1" t="s">
        <v>10</v>
      </c>
      <c r="C529">
        <v>1574</v>
      </c>
      <c r="D529">
        <v>5509000</v>
      </c>
      <c r="E529">
        <v>4092400</v>
      </c>
      <c r="F529">
        <v>1416600</v>
      </c>
      <c r="G529" s="2">
        <v>46119</v>
      </c>
      <c r="H529" s="3">
        <f>SUM(D:D)</f>
        <v>10447536600</v>
      </c>
      <c r="I529" s="4">
        <f>SUM(F:F)</f>
        <v>2099369250</v>
      </c>
      <c r="J529" s="4">
        <f>SUM(E:E)</f>
        <v>8348167350</v>
      </c>
      <c r="K529">
        <f>SUM(C:C)</f>
        <v>1017885</v>
      </c>
      <c r="L529">
        <f>MONTH(G:G)</f>
        <v>4</v>
      </c>
      <c r="M529">
        <f>YEAR(G:G)</f>
        <v>2026</v>
      </c>
    </row>
    <row r="530" spans="1:13" x14ac:dyDescent="0.25">
      <c r="A530" s="1" t="s">
        <v>13</v>
      </c>
      <c r="B530" s="1" t="s">
        <v>8</v>
      </c>
      <c r="C530">
        <v>1689</v>
      </c>
      <c r="D530">
        <v>5067000</v>
      </c>
      <c r="E530">
        <v>3040200</v>
      </c>
      <c r="F530">
        <v>2026800</v>
      </c>
      <c r="G530" s="2">
        <v>46133</v>
      </c>
      <c r="H530" s="3">
        <f>SUM(D:D)</f>
        <v>10447536600</v>
      </c>
      <c r="I530" s="4">
        <f>SUM(F:F)</f>
        <v>2099369250</v>
      </c>
      <c r="J530" s="4">
        <f>SUM(E:E)</f>
        <v>8348167350</v>
      </c>
      <c r="K530">
        <f>SUM(C:C)</f>
        <v>1017885</v>
      </c>
      <c r="L530">
        <f>MONTH(G:G)</f>
        <v>4</v>
      </c>
      <c r="M530">
        <f>YEAR(G:G)</f>
        <v>2026</v>
      </c>
    </row>
    <row r="531" spans="1:13" x14ac:dyDescent="0.25">
      <c r="A531" s="1" t="s">
        <v>21</v>
      </c>
      <c r="B531" s="1" t="s">
        <v>12</v>
      </c>
      <c r="C531">
        <v>1013</v>
      </c>
      <c r="D531">
        <v>1215600</v>
      </c>
      <c r="E531">
        <v>861050</v>
      </c>
      <c r="F531">
        <v>354550</v>
      </c>
      <c r="G531" s="2">
        <v>46119</v>
      </c>
      <c r="H531" s="3">
        <f>SUM(D:D)</f>
        <v>10447536600</v>
      </c>
      <c r="I531" s="4">
        <f>SUM(F:F)</f>
        <v>2099369250</v>
      </c>
      <c r="J531" s="4">
        <f>SUM(E:E)</f>
        <v>8348167350</v>
      </c>
      <c r="K531">
        <f>SUM(C:C)</f>
        <v>1017885</v>
      </c>
      <c r="L531">
        <f>MONTH(G:G)</f>
        <v>4</v>
      </c>
      <c r="M531">
        <f>YEAR(G:G)</f>
        <v>2026</v>
      </c>
    </row>
    <row r="532" spans="1:13" x14ac:dyDescent="0.25">
      <c r="A532" s="1" t="s">
        <v>7</v>
      </c>
      <c r="B532" s="1" t="s">
        <v>12</v>
      </c>
      <c r="C532">
        <v>970</v>
      </c>
      <c r="D532">
        <v>1164000</v>
      </c>
      <c r="E532">
        <v>824500</v>
      </c>
      <c r="F532">
        <v>339500</v>
      </c>
      <c r="G532" s="2">
        <v>46126</v>
      </c>
      <c r="H532" s="3">
        <f>SUM(D:D)</f>
        <v>10447536600</v>
      </c>
      <c r="I532" s="4">
        <f>SUM(F:F)</f>
        <v>2099369250</v>
      </c>
      <c r="J532" s="4">
        <f>SUM(E:E)</f>
        <v>8348167350</v>
      </c>
      <c r="K532">
        <f>SUM(C:C)</f>
        <v>1017885</v>
      </c>
      <c r="L532">
        <f>MONTH(G:G)</f>
        <v>4</v>
      </c>
      <c r="M532">
        <f>YEAR(G:G)</f>
        <v>2026</v>
      </c>
    </row>
    <row r="533" spans="1:13" x14ac:dyDescent="0.25">
      <c r="A533" s="1" t="s">
        <v>11</v>
      </c>
      <c r="B533" s="1" t="s">
        <v>10</v>
      </c>
      <c r="C533">
        <v>2321</v>
      </c>
      <c r="D533">
        <v>8123500</v>
      </c>
      <c r="E533">
        <v>6034600</v>
      </c>
      <c r="F533">
        <v>2088900</v>
      </c>
      <c r="G533" s="2">
        <v>46113</v>
      </c>
      <c r="H533" s="3">
        <f>SUM(D:D)</f>
        <v>10447536600</v>
      </c>
      <c r="I533" s="4">
        <f>SUM(F:F)</f>
        <v>2099369250</v>
      </c>
      <c r="J533" s="4">
        <f>SUM(E:E)</f>
        <v>8348167350</v>
      </c>
      <c r="K533">
        <f>SUM(C:C)</f>
        <v>1017885</v>
      </c>
      <c r="L533">
        <f>MONTH(G:G)</f>
        <v>4</v>
      </c>
      <c r="M533">
        <f>YEAR(G:G)</f>
        <v>2026</v>
      </c>
    </row>
    <row r="534" spans="1:13" x14ac:dyDescent="0.25">
      <c r="A534" s="1" t="s">
        <v>11</v>
      </c>
      <c r="B534" s="1" t="s">
        <v>23</v>
      </c>
      <c r="C534">
        <v>2212</v>
      </c>
      <c r="D534">
        <v>11060000</v>
      </c>
      <c r="E534">
        <v>9290400</v>
      </c>
      <c r="F534">
        <v>1769600</v>
      </c>
      <c r="G534" s="2">
        <v>46124</v>
      </c>
      <c r="H534" s="3">
        <f>SUM(D:D)</f>
        <v>10447536600</v>
      </c>
      <c r="I534" s="4">
        <f>SUM(F:F)</f>
        <v>2099369250</v>
      </c>
      <c r="J534" s="4">
        <f>SUM(E:E)</f>
        <v>8348167350</v>
      </c>
      <c r="K534">
        <f>SUM(C:C)</f>
        <v>1017885</v>
      </c>
      <c r="L534">
        <f>MONTH(G:G)</f>
        <v>4</v>
      </c>
      <c r="M534">
        <f>YEAR(G:G)</f>
        <v>2026</v>
      </c>
    </row>
    <row r="535" spans="1:13" x14ac:dyDescent="0.25">
      <c r="A535" s="1" t="s">
        <v>16</v>
      </c>
      <c r="B535" s="1" t="s">
        <v>14</v>
      </c>
      <c r="C535">
        <v>1396</v>
      </c>
      <c r="D535">
        <v>1675200</v>
      </c>
      <c r="E535">
        <v>1116800</v>
      </c>
      <c r="F535">
        <v>558400</v>
      </c>
      <c r="G535" s="2">
        <v>46113</v>
      </c>
      <c r="H535" s="3">
        <f>SUM(D:D)</f>
        <v>10447536600</v>
      </c>
      <c r="I535" s="4">
        <f>SUM(F:F)</f>
        <v>2099369250</v>
      </c>
      <c r="J535" s="4">
        <f>SUM(E:E)</f>
        <v>8348167350</v>
      </c>
      <c r="K535">
        <f>SUM(C:C)</f>
        <v>1017885</v>
      </c>
      <c r="L535">
        <f>MONTH(G:G)</f>
        <v>4</v>
      </c>
      <c r="M535">
        <f>YEAR(G:G)</f>
        <v>2026</v>
      </c>
    </row>
    <row r="536" spans="1:13" x14ac:dyDescent="0.25">
      <c r="A536" s="1" t="s">
        <v>11</v>
      </c>
      <c r="B536" s="1" t="s">
        <v>17</v>
      </c>
      <c r="C536">
        <v>412</v>
      </c>
      <c r="D536">
        <v>6180000</v>
      </c>
      <c r="E536">
        <v>4532000</v>
      </c>
      <c r="F536">
        <v>1648000</v>
      </c>
      <c r="G536" s="2">
        <v>46137</v>
      </c>
      <c r="H536" s="3">
        <f>SUM(D:D)</f>
        <v>10447536600</v>
      </c>
      <c r="I536" s="4">
        <f>SUM(F:F)</f>
        <v>2099369250</v>
      </c>
      <c r="J536" s="4">
        <f>SUM(E:E)</f>
        <v>8348167350</v>
      </c>
      <c r="K536">
        <f>SUM(C:C)</f>
        <v>1017885</v>
      </c>
      <c r="L536">
        <f>MONTH(G:G)</f>
        <v>4</v>
      </c>
      <c r="M536">
        <f>YEAR(G:G)</f>
        <v>2026</v>
      </c>
    </row>
    <row r="537" spans="1:13" x14ac:dyDescent="0.25">
      <c r="A537" s="1" t="s">
        <v>21</v>
      </c>
      <c r="B537" s="1" t="s">
        <v>8</v>
      </c>
      <c r="C537">
        <v>1732</v>
      </c>
      <c r="D537">
        <v>5196000</v>
      </c>
      <c r="E537">
        <v>3117600</v>
      </c>
      <c r="F537">
        <v>2078400</v>
      </c>
      <c r="G537" s="2">
        <v>46136</v>
      </c>
      <c r="H537" s="3">
        <f>SUM(D:D)</f>
        <v>10447536600</v>
      </c>
      <c r="I537" s="4">
        <f>SUM(F:F)</f>
        <v>2099369250</v>
      </c>
      <c r="J537" s="4">
        <f>SUM(E:E)</f>
        <v>8348167350</v>
      </c>
      <c r="K537">
        <f>SUM(C:C)</f>
        <v>1017885</v>
      </c>
      <c r="L537">
        <f>MONTH(G:G)</f>
        <v>4</v>
      </c>
      <c r="M537">
        <f>YEAR(G:G)</f>
        <v>2026</v>
      </c>
    </row>
    <row r="538" spans="1:13" x14ac:dyDescent="0.25">
      <c r="A538" s="1" t="s">
        <v>13</v>
      </c>
      <c r="B538" s="1" t="s">
        <v>10</v>
      </c>
      <c r="C538">
        <v>742</v>
      </c>
      <c r="D538">
        <v>2597000</v>
      </c>
      <c r="E538">
        <v>1929200</v>
      </c>
      <c r="F538">
        <v>667800</v>
      </c>
      <c r="G538" s="2">
        <v>46127</v>
      </c>
      <c r="H538" s="3">
        <f>SUM(D:D)</f>
        <v>10447536600</v>
      </c>
      <c r="I538" s="4">
        <f>SUM(F:F)</f>
        <v>2099369250</v>
      </c>
      <c r="J538" s="4">
        <f>SUM(E:E)</f>
        <v>8348167350</v>
      </c>
      <c r="K538">
        <f>SUM(C:C)</f>
        <v>1017885</v>
      </c>
      <c r="L538">
        <f>MONTH(G:G)</f>
        <v>4</v>
      </c>
      <c r="M538">
        <f>YEAR(G:G)</f>
        <v>2026</v>
      </c>
    </row>
    <row r="539" spans="1:13" x14ac:dyDescent="0.25">
      <c r="A539" s="1" t="s">
        <v>15</v>
      </c>
      <c r="B539" s="1" t="s">
        <v>10</v>
      </c>
      <c r="C539">
        <v>2818</v>
      </c>
      <c r="D539">
        <v>9863000</v>
      </c>
      <c r="E539">
        <v>7326800</v>
      </c>
      <c r="F539">
        <v>2536200</v>
      </c>
      <c r="G539" s="2">
        <v>46137</v>
      </c>
      <c r="H539" s="3">
        <f>SUM(D:D)</f>
        <v>10447536600</v>
      </c>
      <c r="I539" s="4">
        <f>SUM(F:F)</f>
        <v>2099369250</v>
      </c>
      <c r="J539" s="4">
        <f>SUM(E:E)</f>
        <v>8348167350</v>
      </c>
      <c r="K539">
        <f>SUM(C:C)</f>
        <v>1017885</v>
      </c>
      <c r="L539">
        <f>MONTH(G:G)</f>
        <v>4</v>
      </c>
      <c r="M539">
        <f>YEAR(G:G)</f>
        <v>2026</v>
      </c>
    </row>
    <row r="540" spans="1:13" x14ac:dyDescent="0.25">
      <c r="A540" s="1" t="s">
        <v>16</v>
      </c>
      <c r="B540" s="1" t="s">
        <v>23</v>
      </c>
      <c r="C540">
        <v>858</v>
      </c>
      <c r="D540">
        <v>4290000</v>
      </c>
      <c r="E540">
        <v>3603600</v>
      </c>
      <c r="F540">
        <v>686400</v>
      </c>
      <c r="G540" s="2">
        <v>46113</v>
      </c>
      <c r="H540" s="3">
        <f>SUM(D:D)</f>
        <v>10447536600</v>
      </c>
      <c r="I540" s="4">
        <f>SUM(F:F)</f>
        <v>2099369250</v>
      </c>
      <c r="J540" s="4">
        <f>SUM(E:E)</f>
        <v>8348167350</v>
      </c>
      <c r="K540">
        <f>SUM(C:C)</f>
        <v>1017885</v>
      </c>
      <c r="L540">
        <f>MONTH(G:G)</f>
        <v>4</v>
      </c>
      <c r="M540">
        <f>YEAR(G:G)</f>
        <v>2026</v>
      </c>
    </row>
    <row r="541" spans="1:13" x14ac:dyDescent="0.25">
      <c r="A541" s="1" t="s">
        <v>21</v>
      </c>
      <c r="B541" s="1" t="s">
        <v>14</v>
      </c>
      <c r="C541">
        <v>2902</v>
      </c>
      <c r="D541">
        <v>3482400</v>
      </c>
      <c r="E541">
        <v>2321600</v>
      </c>
      <c r="F541">
        <v>1160800</v>
      </c>
      <c r="G541" s="2">
        <v>46122</v>
      </c>
      <c r="H541" s="3">
        <f>SUM(D:D)</f>
        <v>10447536600</v>
      </c>
      <c r="I541" s="4">
        <f>SUM(F:F)</f>
        <v>2099369250</v>
      </c>
      <c r="J541" s="4">
        <f>SUM(E:E)</f>
        <v>8348167350</v>
      </c>
      <c r="K541">
        <f>SUM(C:C)</f>
        <v>1017885</v>
      </c>
      <c r="L541">
        <f>MONTH(G:G)</f>
        <v>4</v>
      </c>
      <c r="M541">
        <f>YEAR(G:G)</f>
        <v>2026</v>
      </c>
    </row>
    <row r="542" spans="1:13" x14ac:dyDescent="0.25">
      <c r="A542" s="1" t="s">
        <v>20</v>
      </c>
      <c r="B542" s="1" t="s">
        <v>10</v>
      </c>
      <c r="C542">
        <v>344</v>
      </c>
      <c r="D542">
        <v>1204000</v>
      </c>
      <c r="E542">
        <v>894400</v>
      </c>
      <c r="F542">
        <v>309600</v>
      </c>
      <c r="G542" s="2">
        <v>46128</v>
      </c>
      <c r="H542" s="3">
        <f>SUM(D:D)</f>
        <v>10447536600</v>
      </c>
      <c r="I542" s="4">
        <f>SUM(F:F)</f>
        <v>2099369250</v>
      </c>
      <c r="J542" s="4">
        <f>SUM(E:E)</f>
        <v>8348167350</v>
      </c>
      <c r="K542">
        <f>SUM(C:C)</f>
        <v>1017885</v>
      </c>
      <c r="L542">
        <f>MONTH(G:G)</f>
        <v>4</v>
      </c>
      <c r="M542">
        <f>YEAR(G:G)</f>
        <v>2026</v>
      </c>
    </row>
    <row r="543" spans="1:13" x14ac:dyDescent="0.25">
      <c r="A543" s="1" t="s">
        <v>11</v>
      </c>
      <c r="B543" s="1" t="s">
        <v>17</v>
      </c>
      <c r="C543">
        <v>1522</v>
      </c>
      <c r="D543">
        <v>22830000</v>
      </c>
      <c r="E543">
        <v>16742000</v>
      </c>
      <c r="F543">
        <v>6088000</v>
      </c>
      <c r="G543" s="2">
        <v>46132</v>
      </c>
      <c r="H543" s="3">
        <f>SUM(D:D)</f>
        <v>10447536600</v>
      </c>
      <c r="I543" s="4">
        <f>SUM(F:F)</f>
        <v>2099369250</v>
      </c>
      <c r="J543" s="4">
        <f>SUM(E:E)</f>
        <v>8348167350</v>
      </c>
      <c r="K543">
        <f>SUM(C:C)</f>
        <v>1017885</v>
      </c>
      <c r="L543">
        <f>MONTH(G:G)</f>
        <v>4</v>
      </c>
      <c r="M543">
        <f>YEAR(G:G)</f>
        <v>2026</v>
      </c>
    </row>
    <row r="544" spans="1:13" x14ac:dyDescent="0.25">
      <c r="A544" s="1" t="s">
        <v>13</v>
      </c>
      <c r="B544" s="1" t="s">
        <v>14</v>
      </c>
      <c r="C544">
        <v>331</v>
      </c>
      <c r="D544">
        <v>397200</v>
      </c>
      <c r="E544">
        <v>264800</v>
      </c>
      <c r="F544">
        <v>132400</v>
      </c>
      <c r="G544" s="2">
        <v>46133</v>
      </c>
      <c r="H544" s="3">
        <f>SUM(D:D)</f>
        <v>10447536600</v>
      </c>
      <c r="I544" s="4">
        <f>SUM(F:F)</f>
        <v>2099369250</v>
      </c>
      <c r="J544" s="4">
        <f>SUM(E:E)</f>
        <v>8348167350</v>
      </c>
      <c r="K544">
        <f>SUM(C:C)</f>
        <v>1017885</v>
      </c>
      <c r="L544">
        <f>MONTH(G:G)</f>
        <v>4</v>
      </c>
      <c r="M544">
        <f>YEAR(G:G)</f>
        <v>2026</v>
      </c>
    </row>
    <row r="545" spans="1:13" x14ac:dyDescent="0.25">
      <c r="A545" s="1" t="s">
        <v>13</v>
      </c>
      <c r="B545" s="1" t="s">
        <v>8</v>
      </c>
      <c r="C545">
        <v>2582</v>
      </c>
      <c r="D545">
        <v>7746000</v>
      </c>
      <c r="E545">
        <v>4647600</v>
      </c>
      <c r="F545">
        <v>3098400</v>
      </c>
      <c r="G545" s="2">
        <v>46133</v>
      </c>
      <c r="H545" s="3">
        <f>SUM(D:D)</f>
        <v>10447536600</v>
      </c>
      <c r="I545" s="4">
        <f>SUM(F:F)</f>
        <v>2099369250</v>
      </c>
      <c r="J545" s="4">
        <f>SUM(E:E)</f>
        <v>8348167350</v>
      </c>
      <c r="K545">
        <f>SUM(C:C)</f>
        <v>1017885</v>
      </c>
      <c r="L545">
        <f>MONTH(G:G)</f>
        <v>4</v>
      </c>
      <c r="M545">
        <f>YEAR(G:G)</f>
        <v>2026</v>
      </c>
    </row>
    <row r="546" spans="1:13" x14ac:dyDescent="0.25">
      <c r="A546" s="1" t="s">
        <v>15</v>
      </c>
      <c r="B546" s="1" t="s">
        <v>17</v>
      </c>
      <c r="C546">
        <v>1290</v>
      </c>
      <c r="D546">
        <v>19350000</v>
      </c>
      <c r="E546">
        <v>14190000</v>
      </c>
      <c r="F546">
        <v>5160000</v>
      </c>
      <c r="G546" s="2">
        <v>46158</v>
      </c>
      <c r="H546" s="3">
        <f>SUM(D:D)</f>
        <v>10447536600</v>
      </c>
      <c r="I546" s="4">
        <f>SUM(F:F)</f>
        <v>2099369250</v>
      </c>
      <c r="J546" s="4">
        <f>SUM(E:E)</f>
        <v>8348167350</v>
      </c>
      <c r="K546">
        <f>SUM(C:C)</f>
        <v>1017885</v>
      </c>
      <c r="L546">
        <f>MONTH(G:G)</f>
        <v>5</v>
      </c>
      <c r="M546">
        <f>YEAR(G:G)</f>
        <v>2026</v>
      </c>
    </row>
    <row r="547" spans="1:13" x14ac:dyDescent="0.25">
      <c r="A547" s="1" t="s">
        <v>7</v>
      </c>
      <c r="B547" s="1" t="s">
        <v>17</v>
      </c>
      <c r="C547">
        <v>65</v>
      </c>
      <c r="D547">
        <v>975000</v>
      </c>
      <c r="E547">
        <v>715000</v>
      </c>
      <c r="F547">
        <v>260000</v>
      </c>
      <c r="G547" s="2">
        <v>46150</v>
      </c>
      <c r="H547" s="3">
        <f>SUM(D:D)</f>
        <v>10447536600</v>
      </c>
      <c r="I547" s="4">
        <f>SUM(F:F)</f>
        <v>2099369250</v>
      </c>
      <c r="J547" s="4">
        <f>SUM(E:E)</f>
        <v>8348167350</v>
      </c>
      <c r="K547">
        <f>SUM(C:C)</f>
        <v>1017885</v>
      </c>
      <c r="L547">
        <f>MONTH(G:G)</f>
        <v>5</v>
      </c>
      <c r="M547">
        <f>YEAR(G:G)</f>
        <v>2026</v>
      </c>
    </row>
    <row r="548" spans="1:13" x14ac:dyDescent="0.25">
      <c r="A548" s="1" t="s">
        <v>7</v>
      </c>
      <c r="B548" s="1" t="s">
        <v>10</v>
      </c>
      <c r="C548">
        <v>360</v>
      </c>
      <c r="D548">
        <v>1260000</v>
      </c>
      <c r="E548">
        <v>936000</v>
      </c>
      <c r="F548">
        <v>324000</v>
      </c>
      <c r="G548" s="2">
        <v>46148</v>
      </c>
      <c r="H548" s="3">
        <f>SUM(D:D)</f>
        <v>10447536600</v>
      </c>
      <c r="I548" s="4">
        <f>SUM(F:F)</f>
        <v>2099369250</v>
      </c>
      <c r="J548" s="4">
        <f>SUM(E:E)</f>
        <v>8348167350</v>
      </c>
      <c r="K548">
        <f>SUM(C:C)</f>
        <v>1017885</v>
      </c>
      <c r="L548">
        <f>MONTH(G:G)</f>
        <v>5</v>
      </c>
      <c r="M548">
        <f>YEAR(G:G)</f>
        <v>2026</v>
      </c>
    </row>
    <row r="549" spans="1:13" x14ac:dyDescent="0.25">
      <c r="A549" s="1" t="s">
        <v>18</v>
      </c>
      <c r="B549" s="1" t="s">
        <v>8</v>
      </c>
      <c r="C549">
        <v>1761</v>
      </c>
      <c r="D549">
        <v>5283000</v>
      </c>
      <c r="E549">
        <v>3169800</v>
      </c>
      <c r="F549">
        <v>2113200</v>
      </c>
      <c r="G549" s="2">
        <v>46150</v>
      </c>
      <c r="H549" s="3">
        <f>SUM(D:D)</f>
        <v>10447536600</v>
      </c>
      <c r="I549" s="4">
        <f>SUM(F:F)</f>
        <v>2099369250</v>
      </c>
      <c r="J549" s="4">
        <f>SUM(E:E)</f>
        <v>8348167350</v>
      </c>
      <c r="K549">
        <f>SUM(C:C)</f>
        <v>1017885</v>
      </c>
      <c r="L549">
        <f>MONTH(G:G)</f>
        <v>5</v>
      </c>
      <c r="M549">
        <f>YEAR(G:G)</f>
        <v>2026</v>
      </c>
    </row>
    <row r="550" spans="1:13" x14ac:dyDescent="0.25">
      <c r="A550" s="1" t="s">
        <v>9</v>
      </c>
      <c r="B550" s="1" t="s">
        <v>8</v>
      </c>
      <c r="C550">
        <v>1612</v>
      </c>
      <c r="D550">
        <v>4836000</v>
      </c>
      <c r="E550">
        <v>2901600</v>
      </c>
      <c r="F550">
        <v>1934400</v>
      </c>
      <c r="G550" s="2">
        <v>46147</v>
      </c>
      <c r="H550" s="3">
        <f>SUM(D:D)</f>
        <v>10447536600</v>
      </c>
      <c r="I550" s="4">
        <f>SUM(F:F)</f>
        <v>2099369250</v>
      </c>
      <c r="J550" s="4">
        <f>SUM(E:E)</f>
        <v>8348167350</v>
      </c>
      <c r="K550">
        <f>SUM(C:C)</f>
        <v>1017885</v>
      </c>
      <c r="L550">
        <f>MONTH(G:G)</f>
        <v>5</v>
      </c>
      <c r="M550">
        <f>YEAR(G:G)</f>
        <v>2026</v>
      </c>
    </row>
    <row r="551" spans="1:13" x14ac:dyDescent="0.25">
      <c r="A551" s="1" t="s">
        <v>16</v>
      </c>
      <c r="B551" s="1" t="s">
        <v>12</v>
      </c>
      <c r="C551">
        <v>1159</v>
      </c>
      <c r="D551">
        <v>1390800</v>
      </c>
      <c r="E551">
        <v>985150</v>
      </c>
      <c r="F551">
        <v>405650</v>
      </c>
      <c r="G551" s="2">
        <v>46151</v>
      </c>
      <c r="H551" s="3">
        <f>SUM(D:D)</f>
        <v>10447536600</v>
      </c>
      <c r="I551" s="4">
        <f>SUM(F:F)</f>
        <v>2099369250</v>
      </c>
      <c r="J551" s="4">
        <f>SUM(E:E)</f>
        <v>8348167350</v>
      </c>
      <c r="K551">
        <f>SUM(C:C)</f>
        <v>1017885</v>
      </c>
      <c r="L551">
        <f>MONTH(G:G)</f>
        <v>5</v>
      </c>
      <c r="M551">
        <f>YEAR(G:G)</f>
        <v>2026</v>
      </c>
    </row>
    <row r="552" spans="1:13" x14ac:dyDescent="0.25">
      <c r="A552" s="1" t="s">
        <v>11</v>
      </c>
      <c r="B552" s="1" t="s">
        <v>19</v>
      </c>
      <c r="C552">
        <v>1378</v>
      </c>
      <c r="D552">
        <v>62010000</v>
      </c>
      <c r="E552">
        <v>52364000</v>
      </c>
      <c r="F552">
        <v>9646000</v>
      </c>
      <c r="G552" s="2">
        <v>46165</v>
      </c>
      <c r="H552" s="3">
        <f>SUM(D:D)</f>
        <v>10447536600</v>
      </c>
      <c r="I552" s="4">
        <f>SUM(F:F)</f>
        <v>2099369250</v>
      </c>
      <c r="J552" s="4">
        <f>SUM(E:E)</f>
        <v>8348167350</v>
      </c>
      <c r="K552">
        <f>SUM(C:C)</f>
        <v>1017885</v>
      </c>
      <c r="L552">
        <f>MONTH(G:G)</f>
        <v>5</v>
      </c>
      <c r="M552">
        <f>YEAR(G:G)</f>
        <v>2026</v>
      </c>
    </row>
    <row r="553" spans="1:13" x14ac:dyDescent="0.25">
      <c r="A553" s="1" t="s">
        <v>15</v>
      </c>
      <c r="B553" s="1" t="s">
        <v>10</v>
      </c>
      <c r="C553">
        <v>923</v>
      </c>
      <c r="D553">
        <v>3230500</v>
      </c>
      <c r="E553">
        <v>2399800</v>
      </c>
      <c r="F553">
        <v>830700</v>
      </c>
      <c r="G553" s="2">
        <v>46162</v>
      </c>
      <c r="H553" s="3">
        <f>SUM(D:D)</f>
        <v>10447536600</v>
      </c>
      <c r="I553" s="4">
        <f>SUM(F:F)</f>
        <v>2099369250</v>
      </c>
      <c r="J553" s="4">
        <f>SUM(E:E)</f>
        <v>8348167350</v>
      </c>
      <c r="K553">
        <f>SUM(C:C)</f>
        <v>1017885</v>
      </c>
      <c r="L553">
        <f>MONTH(G:G)</f>
        <v>5</v>
      </c>
      <c r="M553">
        <f>YEAR(G:G)</f>
        <v>2026</v>
      </c>
    </row>
    <row r="554" spans="1:13" x14ac:dyDescent="0.25">
      <c r="A554" s="1" t="s">
        <v>15</v>
      </c>
      <c r="B554" s="1" t="s">
        <v>8</v>
      </c>
      <c r="C554">
        <v>2959</v>
      </c>
      <c r="D554">
        <v>8877000</v>
      </c>
      <c r="E554">
        <v>5326200</v>
      </c>
      <c r="F554">
        <v>3550800</v>
      </c>
      <c r="G554" s="2">
        <v>46159</v>
      </c>
      <c r="H554" s="3">
        <f>SUM(D:D)</f>
        <v>10447536600</v>
      </c>
      <c r="I554" s="4">
        <f>SUM(F:F)</f>
        <v>2099369250</v>
      </c>
      <c r="J554" s="4">
        <f>SUM(E:E)</f>
        <v>8348167350</v>
      </c>
      <c r="K554">
        <f>SUM(C:C)</f>
        <v>1017885</v>
      </c>
      <c r="L554">
        <f>MONTH(G:G)</f>
        <v>5</v>
      </c>
      <c r="M554">
        <f>YEAR(G:G)</f>
        <v>2026</v>
      </c>
    </row>
    <row r="555" spans="1:13" x14ac:dyDescent="0.25">
      <c r="A555" s="1" t="s">
        <v>18</v>
      </c>
      <c r="B555" s="1" t="s">
        <v>17</v>
      </c>
      <c r="C555">
        <v>2058</v>
      </c>
      <c r="D555">
        <v>30870000</v>
      </c>
      <c r="E555">
        <v>22638000</v>
      </c>
      <c r="F555">
        <v>8232000</v>
      </c>
      <c r="G555" s="2">
        <v>46167</v>
      </c>
      <c r="H555" s="3">
        <f>SUM(D:D)</f>
        <v>10447536600</v>
      </c>
      <c r="I555" s="4">
        <f>SUM(F:F)</f>
        <v>2099369250</v>
      </c>
      <c r="J555" s="4">
        <f>SUM(E:E)</f>
        <v>8348167350</v>
      </c>
      <c r="K555">
        <f>SUM(C:C)</f>
        <v>1017885</v>
      </c>
      <c r="L555">
        <f>MONTH(G:G)</f>
        <v>5</v>
      </c>
      <c r="M555">
        <f>YEAR(G:G)</f>
        <v>2026</v>
      </c>
    </row>
    <row r="556" spans="1:13" x14ac:dyDescent="0.25">
      <c r="A556" s="1" t="s">
        <v>15</v>
      </c>
      <c r="B556" s="1" t="s">
        <v>14</v>
      </c>
      <c r="C556">
        <v>350</v>
      </c>
      <c r="D556">
        <v>420000</v>
      </c>
      <c r="E556">
        <v>280000</v>
      </c>
      <c r="F556">
        <v>140000</v>
      </c>
      <c r="G556" s="2">
        <v>46166</v>
      </c>
      <c r="H556" s="3">
        <f>SUM(D:D)</f>
        <v>10447536600</v>
      </c>
      <c r="I556" s="4">
        <f>SUM(F:F)</f>
        <v>2099369250</v>
      </c>
      <c r="J556" s="4">
        <f>SUM(E:E)</f>
        <v>8348167350</v>
      </c>
      <c r="K556">
        <f>SUM(C:C)</f>
        <v>1017885</v>
      </c>
      <c r="L556">
        <f>MONTH(G:G)</f>
        <v>5</v>
      </c>
      <c r="M556">
        <f>YEAR(G:G)</f>
        <v>2026</v>
      </c>
    </row>
    <row r="557" spans="1:13" x14ac:dyDescent="0.25">
      <c r="A557" s="1" t="s">
        <v>13</v>
      </c>
      <c r="B557" s="1" t="s">
        <v>10</v>
      </c>
      <c r="C557">
        <v>2983</v>
      </c>
      <c r="D557">
        <v>10440500</v>
      </c>
      <c r="E557">
        <v>7755800</v>
      </c>
      <c r="F557">
        <v>2684700</v>
      </c>
      <c r="G557" s="2">
        <v>46144</v>
      </c>
      <c r="H557" s="3">
        <f>SUM(D:D)</f>
        <v>10447536600</v>
      </c>
      <c r="I557" s="4">
        <f>SUM(F:F)</f>
        <v>2099369250</v>
      </c>
      <c r="J557" s="4">
        <f>SUM(E:E)</f>
        <v>8348167350</v>
      </c>
      <c r="K557">
        <f>SUM(C:C)</f>
        <v>1017885</v>
      </c>
      <c r="L557">
        <f>MONTH(G:G)</f>
        <v>5</v>
      </c>
      <c r="M557">
        <f>YEAR(G:G)</f>
        <v>2026</v>
      </c>
    </row>
    <row r="558" spans="1:13" x14ac:dyDescent="0.25">
      <c r="A558" s="1" t="s">
        <v>7</v>
      </c>
      <c r="B558" s="1" t="s">
        <v>14</v>
      </c>
      <c r="C558">
        <v>2894</v>
      </c>
      <c r="D558">
        <v>3472800</v>
      </c>
      <c r="E558">
        <v>2315200</v>
      </c>
      <c r="F558">
        <v>1157600</v>
      </c>
      <c r="G558" s="2">
        <v>46144</v>
      </c>
      <c r="H558" s="3">
        <f>SUM(D:D)</f>
        <v>10447536600</v>
      </c>
      <c r="I558" s="4">
        <f>SUM(F:F)</f>
        <v>2099369250</v>
      </c>
      <c r="J558" s="4">
        <f>SUM(E:E)</f>
        <v>8348167350</v>
      </c>
      <c r="K558">
        <f>SUM(C:C)</f>
        <v>1017885</v>
      </c>
      <c r="L558">
        <f>MONTH(G:G)</f>
        <v>5</v>
      </c>
      <c r="M558">
        <f>YEAR(G:G)</f>
        <v>2026</v>
      </c>
    </row>
    <row r="559" spans="1:13" x14ac:dyDescent="0.25">
      <c r="A559" s="1" t="s">
        <v>21</v>
      </c>
      <c r="B559" s="1" t="s">
        <v>19</v>
      </c>
      <c r="C559">
        <v>424</v>
      </c>
      <c r="D559">
        <v>19080000</v>
      </c>
      <c r="E559">
        <v>16112000</v>
      </c>
      <c r="F559">
        <v>2968000</v>
      </c>
      <c r="G559" s="2">
        <v>46172</v>
      </c>
      <c r="H559" s="3">
        <f>SUM(D:D)</f>
        <v>10447536600</v>
      </c>
      <c r="I559" s="4">
        <f>SUM(F:F)</f>
        <v>2099369250</v>
      </c>
      <c r="J559" s="4">
        <f>SUM(E:E)</f>
        <v>8348167350</v>
      </c>
      <c r="K559">
        <f>SUM(C:C)</f>
        <v>1017885</v>
      </c>
      <c r="L559">
        <f>MONTH(G:G)</f>
        <v>5</v>
      </c>
      <c r="M559">
        <f>YEAR(G:G)</f>
        <v>2026</v>
      </c>
    </row>
    <row r="560" spans="1:13" x14ac:dyDescent="0.25">
      <c r="A560" s="1" t="s">
        <v>20</v>
      </c>
      <c r="B560" s="1" t="s">
        <v>23</v>
      </c>
      <c r="C560">
        <v>1391</v>
      </c>
      <c r="D560">
        <v>6955000</v>
      </c>
      <c r="E560">
        <v>5842200</v>
      </c>
      <c r="F560">
        <v>1112800</v>
      </c>
      <c r="G560" s="2">
        <v>46182</v>
      </c>
      <c r="H560" s="3">
        <f>SUM(D:D)</f>
        <v>10447536600</v>
      </c>
      <c r="I560" s="4">
        <f>SUM(F:F)</f>
        <v>2099369250</v>
      </c>
      <c r="J560" s="4">
        <f>SUM(E:E)</f>
        <v>8348167350</v>
      </c>
      <c r="K560">
        <f>SUM(C:C)</f>
        <v>1017885</v>
      </c>
      <c r="L560">
        <f>MONTH(G:G)</f>
        <v>6</v>
      </c>
      <c r="M560">
        <f>YEAR(G:G)</f>
        <v>2026</v>
      </c>
    </row>
    <row r="561" spans="1:13" x14ac:dyDescent="0.25">
      <c r="A561" s="1" t="s">
        <v>15</v>
      </c>
      <c r="B561" s="1" t="s">
        <v>23</v>
      </c>
      <c r="C561">
        <v>1550</v>
      </c>
      <c r="D561">
        <v>7750000</v>
      </c>
      <c r="E561">
        <v>6510000</v>
      </c>
      <c r="F561">
        <v>1240000</v>
      </c>
      <c r="G561" s="2">
        <v>46200</v>
      </c>
      <c r="H561" s="3">
        <f>SUM(D:D)</f>
        <v>10447536600</v>
      </c>
      <c r="I561" s="4">
        <f>SUM(F:F)</f>
        <v>2099369250</v>
      </c>
      <c r="J561" s="4">
        <f>SUM(E:E)</f>
        <v>8348167350</v>
      </c>
      <c r="K561">
        <f>SUM(C:C)</f>
        <v>1017885</v>
      </c>
      <c r="L561">
        <f>MONTH(G:G)</f>
        <v>6</v>
      </c>
      <c r="M561">
        <f>YEAR(G:G)</f>
        <v>2026</v>
      </c>
    </row>
    <row r="562" spans="1:13" x14ac:dyDescent="0.25">
      <c r="A562" s="1" t="s">
        <v>11</v>
      </c>
      <c r="B562" s="1" t="s">
        <v>8</v>
      </c>
      <c r="C562">
        <v>1232</v>
      </c>
      <c r="D562">
        <v>3696000</v>
      </c>
      <c r="E562">
        <v>2217600</v>
      </c>
      <c r="F562">
        <v>1478400</v>
      </c>
      <c r="G562" s="2">
        <v>46182</v>
      </c>
      <c r="H562" s="3">
        <f>SUM(D:D)</f>
        <v>10447536600</v>
      </c>
      <c r="I562" s="4">
        <f>SUM(F:F)</f>
        <v>2099369250</v>
      </c>
      <c r="J562" s="4">
        <f>SUM(E:E)</f>
        <v>8348167350</v>
      </c>
      <c r="K562">
        <f>SUM(C:C)</f>
        <v>1017885</v>
      </c>
      <c r="L562">
        <f>MONTH(G:G)</f>
        <v>6</v>
      </c>
      <c r="M562">
        <f>YEAR(G:G)</f>
        <v>2026</v>
      </c>
    </row>
    <row r="563" spans="1:13" x14ac:dyDescent="0.25">
      <c r="A563" s="1" t="s">
        <v>16</v>
      </c>
      <c r="B563" s="1" t="s">
        <v>8</v>
      </c>
      <c r="C563">
        <v>2285</v>
      </c>
      <c r="D563">
        <v>6855000</v>
      </c>
      <c r="E563">
        <v>4113000</v>
      </c>
      <c r="F563">
        <v>2742000</v>
      </c>
      <c r="G563" s="2">
        <v>46178</v>
      </c>
      <c r="H563" s="3">
        <f>SUM(D:D)</f>
        <v>10447536600</v>
      </c>
      <c r="I563" s="4">
        <f>SUM(F:F)</f>
        <v>2099369250</v>
      </c>
      <c r="J563" s="4">
        <f>SUM(E:E)</f>
        <v>8348167350</v>
      </c>
      <c r="K563">
        <f>SUM(C:C)</f>
        <v>1017885</v>
      </c>
      <c r="L563">
        <f>MONTH(G:G)</f>
        <v>6</v>
      </c>
      <c r="M563">
        <f>YEAR(G:G)</f>
        <v>2026</v>
      </c>
    </row>
    <row r="564" spans="1:13" x14ac:dyDescent="0.25">
      <c r="A564" s="1" t="s">
        <v>21</v>
      </c>
      <c r="B564" s="1" t="s">
        <v>8</v>
      </c>
      <c r="C564">
        <v>1961</v>
      </c>
      <c r="D564">
        <v>5883000</v>
      </c>
      <c r="E564">
        <v>3529800</v>
      </c>
      <c r="F564">
        <v>2353200</v>
      </c>
      <c r="G564" s="2">
        <v>46203</v>
      </c>
      <c r="H564" s="3">
        <f>SUM(D:D)</f>
        <v>10447536600</v>
      </c>
      <c r="I564" s="4">
        <f>SUM(F:F)</f>
        <v>2099369250</v>
      </c>
      <c r="J564" s="4">
        <f>SUM(E:E)</f>
        <v>8348167350</v>
      </c>
      <c r="K564">
        <f>SUM(C:C)</f>
        <v>1017885</v>
      </c>
      <c r="L564">
        <f>MONTH(G:G)</f>
        <v>6</v>
      </c>
      <c r="M564">
        <f>YEAR(G:G)</f>
        <v>2026</v>
      </c>
    </row>
    <row r="565" spans="1:13" x14ac:dyDescent="0.25">
      <c r="A565" s="1" t="s">
        <v>22</v>
      </c>
      <c r="B565" s="1" t="s">
        <v>23</v>
      </c>
      <c r="C565">
        <v>2137</v>
      </c>
      <c r="D565">
        <v>10685000</v>
      </c>
      <c r="E565">
        <v>8975400</v>
      </c>
      <c r="F565">
        <v>1709600</v>
      </c>
      <c r="G565" s="2">
        <v>46190</v>
      </c>
      <c r="H565" s="3">
        <f>SUM(D:D)</f>
        <v>10447536600</v>
      </c>
      <c r="I565" s="4">
        <f>SUM(F:F)</f>
        <v>2099369250</v>
      </c>
      <c r="J565" s="4">
        <f>SUM(E:E)</f>
        <v>8348167350</v>
      </c>
      <c r="K565">
        <f>SUM(C:C)</f>
        <v>1017885</v>
      </c>
      <c r="L565">
        <f>MONTH(G:G)</f>
        <v>6</v>
      </c>
      <c r="M565">
        <f>YEAR(G:G)</f>
        <v>2026</v>
      </c>
    </row>
    <row r="566" spans="1:13" x14ac:dyDescent="0.25">
      <c r="A566" s="1" t="s">
        <v>20</v>
      </c>
      <c r="B566" s="1" t="s">
        <v>12</v>
      </c>
      <c r="C566">
        <v>1822</v>
      </c>
      <c r="D566">
        <v>2186400</v>
      </c>
      <c r="E566">
        <v>1548700</v>
      </c>
      <c r="F566">
        <v>637700</v>
      </c>
      <c r="G566" s="2">
        <v>46193</v>
      </c>
      <c r="H566" s="3">
        <f>SUM(D:D)</f>
        <v>10447536600</v>
      </c>
      <c r="I566" s="4">
        <f>SUM(F:F)</f>
        <v>2099369250</v>
      </c>
      <c r="J566" s="4">
        <f>SUM(E:E)</f>
        <v>8348167350</v>
      </c>
      <c r="K566">
        <f>SUM(C:C)</f>
        <v>1017885</v>
      </c>
      <c r="L566">
        <f>MONTH(G:G)</f>
        <v>6</v>
      </c>
      <c r="M566">
        <f>YEAR(G:G)</f>
        <v>2026</v>
      </c>
    </row>
    <row r="567" spans="1:13" x14ac:dyDescent="0.25">
      <c r="A567" s="1" t="s">
        <v>21</v>
      </c>
      <c r="B567" s="1" t="s">
        <v>23</v>
      </c>
      <c r="C567">
        <v>1597</v>
      </c>
      <c r="D567">
        <v>7985000</v>
      </c>
      <c r="E567">
        <v>6707400</v>
      </c>
      <c r="F567">
        <v>1277600</v>
      </c>
      <c r="G567" s="2">
        <v>46174</v>
      </c>
      <c r="H567" s="3">
        <f>SUM(D:D)</f>
        <v>10447536600</v>
      </c>
      <c r="I567" s="4">
        <f>SUM(F:F)</f>
        <v>2099369250</v>
      </c>
      <c r="J567" s="4">
        <f>SUM(E:E)</f>
        <v>8348167350</v>
      </c>
      <c r="K567">
        <f>SUM(C:C)</f>
        <v>1017885</v>
      </c>
      <c r="L567">
        <f>MONTH(G:G)</f>
        <v>6</v>
      </c>
      <c r="M567">
        <f>YEAR(G:G)</f>
        <v>2026</v>
      </c>
    </row>
    <row r="568" spans="1:13" x14ac:dyDescent="0.25">
      <c r="A568" s="1" t="s">
        <v>20</v>
      </c>
      <c r="B568" s="1" t="s">
        <v>19</v>
      </c>
      <c r="C568">
        <v>2134</v>
      </c>
      <c r="D568">
        <v>96030000</v>
      </c>
      <c r="E568">
        <v>81092000</v>
      </c>
      <c r="F568">
        <v>14938000</v>
      </c>
      <c r="G568" s="2">
        <v>46192</v>
      </c>
      <c r="H568" s="3">
        <f>SUM(D:D)</f>
        <v>10447536600</v>
      </c>
      <c r="I568" s="4">
        <f>SUM(F:F)</f>
        <v>2099369250</v>
      </c>
      <c r="J568" s="4">
        <f>SUM(E:E)</f>
        <v>8348167350</v>
      </c>
      <c r="K568">
        <f>SUM(C:C)</f>
        <v>1017885</v>
      </c>
      <c r="L568">
        <f>MONTH(G:G)</f>
        <v>6</v>
      </c>
      <c r="M568">
        <f>YEAR(G:G)</f>
        <v>2026</v>
      </c>
    </row>
    <row r="569" spans="1:13" x14ac:dyDescent="0.25">
      <c r="A569" s="1" t="s">
        <v>15</v>
      </c>
      <c r="B569" s="1" t="s">
        <v>19</v>
      </c>
      <c r="C569">
        <v>1063</v>
      </c>
      <c r="D569">
        <v>47835000</v>
      </c>
      <c r="E569">
        <v>40394000</v>
      </c>
      <c r="F569">
        <v>7441000</v>
      </c>
      <c r="G569" s="2">
        <v>46183</v>
      </c>
      <c r="H569" s="3">
        <f>SUM(D:D)</f>
        <v>10447536600</v>
      </c>
      <c r="I569" s="4">
        <f>SUM(F:F)</f>
        <v>2099369250</v>
      </c>
      <c r="J569" s="4">
        <f>SUM(E:E)</f>
        <v>8348167350</v>
      </c>
      <c r="K569">
        <f>SUM(C:C)</f>
        <v>1017885</v>
      </c>
      <c r="L569">
        <f>MONTH(G:G)</f>
        <v>6</v>
      </c>
      <c r="M569">
        <f>YEAR(G:G)</f>
        <v>2026</v>
      </c>
    </row>
    <row r="570" spans="1:13" x14ac:dyDescent="0.25">
      <c r="A570" s="1" t="s">
        <v>11</v>
      </c>
      <c r="B570" s="1" t="s">
        <v>23</v>
      </c>
      <c r="C570">
        <v>656</v>
      </c>
      <c r="D570">
        <v>3280000</v>
      </c>
      <c r="E570">
        <v>2755200</v>
      </c>
      <c r="F570">
        <v>524800</v>
      </c>
      <c r="G570" s="2">
        <v>46179</v>
      </c>
      <c r="H570" s="3">
        <f>SUM(D:D)</f>
        <v>10447536600</v>
      </c>
      <c r="I570" s="4">
        <f>SUM(F:F)</f>
        <v>2099369250</v>
      </c>
      <c r="J570" s="4">
        <f>SUM(E:E)</f>
        <v>8348167350</v>
      </c>
      <c r="K570">
        <f>SUM(C:C)</f>
        <v>1017885</v>
      </c>
      <c r="L570">
        <f>MONTH(G:G)</f>
        <v>6</v>
      </c>
      <c r="M570">
        <f>YEAR(G:G)</f>
        <v>2026</v>
      </c>
    </row>
    <row r="571" spans="1:13" x14ac:dyDescent="0.25">
      <c r="A571" s="1" t="s">
        <v>13</v>
      </c>
      <c r="B571" s="1" t="s">
        <v>8</v>
      </c>
      <c r="C571">
        <v>598</v>
      </c>
      <c r="D571">
        <v>1794000</v>
      </c>
      <c r="E571">
        <v>1076400</v>
      </c>
      <c r="F571">
        <v>717600</v>
      </c>
      <c r="G571" s="2">
        <v>46191</v>
      </c>
      <c r="H571" s="3">
        <f>SUM(D:D)</f>
        <v>10447536600</v>
      </c>
      <c r="I571" s="4">
        <f>SUM(F:F)</f>
        <v>2099369250</v>
      </c>
      <c r="J571" s="4">
        <f>SUM(E:E)</f>
        <v>8348167350</v>
      </c>
      <c r="K571">
        <f>SUM(C:C)</f>
        <v>1017885</v>
      </c>
      <c r="L571">
        <f>MONTH(G:G)</f>
        <v>6</v>
      </c>
      <c r="M571">
        <f>YEAR(G:G)</f>
        <v>2026</v>
      </c>
    </row>
    <row r="572" spans="1:13" x14ac:dyDescent="0.25">
      <c r="A572" s="1" t="s">
        <v>7</v>
      </c>
      <c r="B572" s="1" t="s">
        <v>12</v>
      </c>
      <c r="C572">
        <v>2988</v>
      </c>
      <c r="D572">
        <v>3585600</v>
      </c>
      <c r="E572">
        <v>2539800</v>
      </c>
      <c r="F572">
        <v>1045800</v>
      </c>
      <c r="G572" s="2">
        <v>46194</v>
      </c>
      <c r="H572" s="3">
        <f>SUM(D:D)</f>
        <v>10447536600</v>
      </c>
      <c r="I572" s="4">
        <f>SUM(F:F)</f>
        <v>2099369250</v>
      </c>
      <c r="J572" s="4">
        <f>SUM(E:E)</f>
        <v>8348167350</v>
      </c>
      <c r="K572">
        <f>SUM(C:C)</f>
        <v>1017885</v>
      </c>
      <c r="L572">
        <f>MONTH(G:G)</f>
        <v>6</v>
      </c>
      <c r="M572">
        <f>YEAR(G:G)</f>
        <v>2026</v>
      </c>
    </row>
    <row r="573" spans="1:13" x14ac:dyDescent="0.25">
      <c r="A573" s="1" t="s">
        <v>18</v>
      </c>
      <c r="B573" s="1" t="s">
        <v>8</v>
      </c>
      <c r="C573">
        <v>1302</v>
      </c>
      <c r="D573">
        <v>3906000</v>
      </c>
      <c r="E573">
        <v>2343600</v>
      </c>
      <c r="F573">
        <v>1562400</v>
      </c>
      <c r="G573" s="2">
        <v>46197</v>
      </c>
      <c r="H573" s="3">
        <f>SUM(D:D)</f>
        <v>10447536600</v>
      </c>
      <c r="I573" s="4">
        <f>SUM(F:F)</f>
        <v>2099369250</v>
      </c>
      <c r="J573" s="4">
        <f>SUM(E:E)</f>
        <v>8348167350</v>
      </c>
      <c r="K573">
        <f>SUM(C:C)</f>
        <v>1017885</v>
      </c>
      <c r="L573">
        <f>MONTH(G:G)</f>
        <v>6</v>
      </c>
      <c r="M573">
        <f>YEAR(G:G)</f>
        <v>2026</v>
      </c>
    </row>
    <row r="574" spans="1:13" x14ac:dyDescent="0.25">
      <c r="A574" s="1" t="s">
        <v>22</v>
      </c>
      <c r="B574" s="1" t="s">
        <v>10</v>
      </c>
      <c r="C574">
        <v>911</v>
      </c>
      <c r="D574">
        <v>3188500</v>
      </c>
      <c r="E574">
        <v>2368600</v>
      </c>
      <c r="F574">
        <v>819900</v>
      </c>
      <c r="G574" s="2">
        <v>46187</v>
      </c>
      <c r="H574" s="3">
        <f>SUM(D:D)</f>
        <v>10447536600</v>
      </c>
      <c r="I574" s="4">
        <f>SUM(F:F)</f>
        <v>2099369250</v>
      </c>
      <c r="J574" s="4">
        <f>SUM(E:E)</f>
        <v>8348167350</v>
      </c>
      <c r="K574">
        <f>SUM(C:C)</f>
        <v>1017885</v>
      </c>
      <c r="L574">
        <f>MONTH(G:G)</f>
        <v>6</v>
      </c>
      <c r="M574">
        <f>YEAR(G:G)</f>
        <v>2026</v>
      </c>
    </row>
    <row r="575" spans="1:13" x14ac:dyDescent="0.25">
      <c r="A575" s="1" t="s">
        <v>13</v>
      </c>
      <c r="B575" s="1" t="s">
        <v>10</v>
      </c>
      <c r="C575">
        <v>2262</v>
      </c>
      <c r="D575">
        <v>7917000</v>
      </c>
      <c r="E575">
        <v>5881200</v>
      </c>
      <c r="F575">
        <v>2035800</v>
      </c>
      <c r="G575" s="2">
        <v>46186</v>
      </c>
      <c r="H575" s="3">
        <f>SUM(D:D)</f>
        <v>10447536600</v>
      </c>
      <c r="I575" s="4">
        <f>SUM(F:F)</f>
        <v>2099369250</v>
      </c>
      <c r="J575" s="4">
        <f>SUM(E:E)</f>
        <v>8348167350</v>
      </c>
      <c r="K575">
        <f>SUM(C:C)</f>
        <v>1017885</v>
      </c>
      <c r="L575">
        <f>MONTH(G:G)</f>
        <v>6</v>
      </c>
      <c r="M575">
        <f>YEAR(G:G)</f>
        <v>2026</v>
      </c>
    </row>
    <row r="576" spans="1:13" x14ac:dyDescent="0.25">
      <c r="A576" s="1" t="s">
        <v>21</v>
      </c>
      <c r="B576" s="1" t="s">
        <v>8</v>
      </c>
      <c r="C576">
        <v>1296</v>
      </c>
      <c r="D576">
        <v>3888000</v>
      </c>
      <c r="E576">
        <v>2332800</v>
      </c>
      <c r="F576">
        <v>1555200</v>
      </c>
      <c r="G576" s="2">
        <v>46175</v>
      </c>
      <c r="H576" s="3">
        <f>SUM(D:D)</f>
        <v>10447536600</v>
      </c>
      <c r="I576" s="4">
        <f>SUM(F:F)</f>
        <v>2099369250</v>
      </c>
      <c r="J576" s="4">
        <f>SUM(E:E)</f>
        <v>8348167350</v>
      </c>
      <c r="K576">
        <f>SUM(C:C)</f>
        <v>1017885</v>
      </c>
      <c r="L576">
        <f>MONTH(G:G)</f>
        <v>6</v>
      </c>
      <c r="M576">
        <f>YEAR(G:G)</f>
        <v>2026</v>
      </c>
    </row>
    <row r="577" spans="1:13" x14ac:dyDescent="0.25">
      <c r="A577" s="1" t="s">
        <v>13</v>
      </c>
      <c r="B577" s="1" t="s">
        <v>14</v>
      </c>
      <c r="C577">
        <v>203</v>
      </c>
      <c r="D577">
        <v>243600</v>
      </c>
      <c r="E577">
        <v>162400</v>
      </c>
      <c r="F577">
        <v>81200</v>
      </c>
      <c r="G577" s="2">
        <v>46208</v>
      </c>
      <c r="H577" s="3">
        <f>SUM(D:D)</f>
        <v>10447536600</v>
      </c>
      <c r="I577" s="4">
        <f>SUM(F:F)</f>
        <v>2099369250</v>
      </c>
      <c r="J577" s="4">
        <f>SUM(E:E)</f>
        <v>8348167350</v>
      </c>
      <c r="K577">
        <f>SUM(C:C)</f>
        <v>1017885</v>
      </c>
      <c r="L577">
        <f>MONTH(G:G)</f>
        <v>7</v>
      </c>
      <c r="M577">
        <f>YEAR(G:G)</f>
        <v>2026</v>
      </c>
    </row>
    <row r="578" spans="1:13" x14ac:dyDescent="0.25">
      <c r="A578" s="1" t="s">
        <v>9</v>
      </c>
      <c r="B578" s="1" t="s">
        <v>8</v>
      </c>
      <c r="C578">
        <v>74</v>
      </c>
      <c r="D578">
        <v>222000</v>
      </c>
      <c r="E578">
        <v>133200</v>
      </c>
      <c r="F578">
        <v>88800</v>
      </c>
      <c r="G578" s="2">
        <v>46233</v>
      </c>
      <c r="H578" s="3">
        <f>SUM(D:D)</f>
        <v>10447536600</v>
      </c>
      <c r="I578" s="4">
        <f>SUM(F:F)</f>
        <v>2099369250</v>
      </c>
      <c r="J578" s="4">
        <f>SUM(E:E)</f>
        <v>8348167350</v>
      </c>
      <c r="K578">
        <f>SUM(C:C)</f>
        <v>1017885</v>
      </c>
      <c r="L578">
        <f>MONTH(G:G)</f>
        <v>7</v>
      </c>
      <c r="M578">
        <f>YEAR(G:G)</f>
        <v>2026</v>
      </c>
    </row>
    <row r="579" spans="1:13" x14ac:dyDescent="0.25">
      <c r="A579" s="1" t="s">
        <v>9</v>
      </c>
      <c r="B579" s="1" t="s">
        <v>8</v>
      </c>
      <c r="C579">
        <v>595</v>
      </c>
      <c r="D579">
        <v>1785000</v>
      </c>
      <c r="E579">
        <v>1071000</v>
      </c>
      <c r="F579">
        <v>714000</v>
      </c>
      <c r="G579" s="2">
        <v>46206</v>
      </c>
      <c r="H579" s="3">
        <f>SUM(D:D)</f>
        <v>10447536600</v>
      </c>
      <c r="I579" s="4">
        <f>SUM(F:F)</f>
        <v>2099369250</v>
      </c>
      <c r="J579" s="4">
        <f>SUM(E:E)</f>
        <v>8348167350</v>
      </c>
      <c r="K579">
        <f>SUM(C:C)</f>
        <v>1017885</v>
      </c>
      <c r="L579">
        <f>MONTH(G:G)</f>
        <v>7</v>
      </c>
      <c r="M579">
        <f>YEAR(G:G)</f>
        <v>2026</v>
      </c>
    </row>
    <row r="580" spans="1:13" x14ac:dyDescent="0.25">
      <c r="A580" s="1" t="s">
        <v>7</v>
      </c>
      <c r="B580" s="1" t="s">
        <v>10</v>
      </c>
      <c r="C580">
        <v>1821</v>
      </c>
      <c r="D580">
        <v>6373500</v>
      </c>
      <c r="E580">
        <v>4734600</v>
      </c>
      <c r="F580">
        <v>1638900</v>
      </c>
      <c r="G580" s="2">
        <v>46212</v>
      </c>
      <c r="H580" s="3">
        <f>SUM(D:D)</f>
        <v>10447536600</v>
      </c>
      <c r="I580" s="4">
        <f>SUM(F:F)</f>
        <v>2099369250</v>
      </c>
      <c r="J580" s="4">
        <f>SUM(E:E)</f>
        <v>8348167350</v>
      </c>
      <c r="K580">
        <f>SUM(C:C)</f>
        <v>1017885</v>
      </c>
      <c r="L580">
        <f>MONTH(G:G)</f>
        <v>7</v>
      </c>
      <c r="M580">
        <f>YEAR(G:G)</f>
        <v>2026</v>
      </c>
    </row>
    <row r="581" spans="1:13" x14ac:dyDescent="0.25">
      <c r="A581" s="1" t="s">
        <v>21</v>
      </c>
      <c r="B581" s="1" t="s">
        <v>23</v>
      </c>
      <c r="C581">
        <v>1022</v>
      </c>
      <c r="D581">
        <v>5110000</v>
      </c>
      <c r="E581">
        <v>4292400</v>
      </c>
      <c r="F581">
        <v>817600</v>
      </c>
      <c r="G581" s="2">
        <v>46222</v>
      </c>
      <c r="H581" s="3">
        <f>SUM(D:D)</f>
        <v>10447536600</v>
      </c>
      <c r="I581" s="4">
        <f>SUM(F:F)</f>
        <v>2099369250</v>
      </c>
      <c r="J581" s="4">
        <f>SUM(E:E)</f>
        <v>8348167350</v>
      </c>
      <c r="K581">
        <f>SUM(C:C)</f>
        <v>1017885</v>
      </c>
      <c r="L581">
        <f>MONTH(G:G)</f>
        <v>7</v>
      </c>
      <c r="M581">
        <f>YEAR(G:G)</f>
        <v>2026</v>
      </c>
    </row>
    <row r="582" spans="1:13" x14ac:dyDescent="0.25">
      <c r="A582" s="1" t="s">
        <v>16</v>
      </c>
      <c r="B582" s="1" t="s">
        <v>23</v>
      </c>
      <c r="C582">
        <v>265</v>
      </c>
      <c r="D582">
        <v>1325000</v>
      </c>
      <c r="E582">
        <v>1113000</v>
      </c>
      <c r="F582">
        <v>212000</v>
      </c>
      <c r="G582" s="2">
        <v>46208</v>
      </c>
      <c r="H582" s="3">
        <f>SUM(D:D)</f>
        <v>10447536600</v>
      </c>
      <c r="I582" s="4">
        <f>SUM(F:F)</f>
        <v>2099369250</v>
      </c>
      <c r="J582" s="4">
        <f>SUM(E:E)</f>
        <v>8348167350</v>
      </c>
      <c r="K582">
        <f>SUM(C:C)</f>
        <v>1017885</v>
      </c>
      <c r="L582">
        <f>MONTH(G:G)</f>
        <v>7</v>
      </c>
      <c r="M582">
        <f>YEAR(G:G)</f>
        <v>2026</v>
      </c>
    </row>
    <row r="583" spans="1:13" x14ac:dyDescent="0.25">
      <c r="A583" s="1" t="s">
        <v>11</v>
      </c>
      <c r="B583" s="1" t="s">
        <v>12</v>
      </c>
      <c r="C583">
        <v>1038</v>
      </c>
      <c r="D583">
        <v>1245600</v>
      </c>
      <c r="E583">
        <v>882300</v>
      </c>
      <c r="F583">
        <v>363300</v>
      </c>
      <c r="G583" s="2">
        <v>46231</v>
      </c>
      <c r="H583" s="3">
        <f>SUM(D:D)</f>
        <v>10447536600</v>
      </c>
      <c r="I583" s="4">
        <f>SUM(F:F)</f>
        <v>2099369250</v>
      </c>
      <c r="J583" s="4">
        <f>SUM(E:E)</f>
        <v>8348167350</v>
      </c>
      <c r="K583">
        <f>SUM(C:C)</f>
        <v>1017885</v>
      </c>
      <c r="L583">
        <f>MONTH(G:G)</f>
        <v>7</v>
      </c>
      <c r="M583">
        <f>YEAR(G:G)</f>
        <v>2026</v>
      </c>
    </row>
    <row r="584" spans="1:13" x14ac:dyDescent="0.25">
      <c r="A584" s="1" t="s">
        <v>13</v>
      </c>
      <c r="B584" s="1" t="s">
        <v>14</v>
      </c>
      <c r="C584">
        <v>2085</v>
      </c>
      <c r="D584">
        <v>2502000</v>
      </c>
      <c r="E584">
        <v>1668000</v>
      </c>
      <c r="F584">
        <v>834000</v>
      </c>
      <c r="G584" s="2">
        <v>46212</v>
      </c>
      <c r="H584" s="3">
        <f>SUM(D:D)</f>
        <v>10447536600</v>
      </c>
      <c r="I584" s="4">
        <f>SUM(F:F)</f>
        <v>2099369250</v>
      </c>
      <c r="J584" s="4">
        <f>SUM(E:E)</f>
        <v>8348167350</v>
      </c>
      <c r="K584">
        <f>SUM(C:C)</f>
        <v>1017885</v>
      </c>
      <c r="L584">
        <f>MONTH(G:G)</f>
        <v>7</v>
      </c>
      <c r="M584">
        <f>YEAR(G:G)</f>
        <v>2026</v>
      </c>
    </row>
    <row r="585" spans="1:13" x14ac:dyDescent="0.25">
      <c r="A585" s="1" t="s">
        <v>20</v>
      </c>
      <c r="B585" s="1" t="s">
        <v>10</v>
      </c>
      <c r="C585">
        <v>633</v>
      </c>
      <c r="D585">
        <v>2215500</v>
      </c>
      <c r="E585">
        <v>1645800</v>
      </c>
      <c r="F585">
        <v>569700</v>
      </c>
      <c r="G585" s="2">
        <v>46227</v>
      </c>
      <c r="H585" s="3">
        <f>SUM(D:D)</f>
        <v>10447536600</v>
      </c>
      <c r="I585" s="4">
        <f>SUM(F:F)</f>
        <v>2099369250</v>
      </c>
      <c r="J585" s="4">
        <f>SUM(E:E)</f>
        <v>8348167350</v>
      </c>
      <c r="K585">
        <f>SUM(C:C)</f>
        <v>1017885</v>
      </c>
      <c r="L585">
        <f>MONTH(G:G)</f>
        <v>7</v>
      </c>
      <c r="M585">
        <f>YEAR(G:G)</f>
        <v>2026</v>
      </c>
    </row>
    <row r="586" spans="1:13" x14ac:dyDescent="0.25">
      <c r="A586" s="1" t="s">
        <v>11</v>
      </c>
      <c r="B586" s="1" t="s">
        <v>10</v>
      </c>
      <c r="C586">
        <v>778</v>
      </c>
      <c r="D586">
        <v>2723000</v>
      </c>
      <c r="E586">
        <v>2022800</v>
      </c>
      <c r="F586">
        <v>700200</v>
      </c>
      <c r="G586" s="2">
        <v>46234</v>
      </c>
      <c r="H586" s="3">
        <f>SUM(D:D)</f>
        <v>10447536600</v>
      </c>
      <c r="I586" s="4">
        <f>SUM(F:F)</f>
        <v>2099369250</v>
      </c>
      <c r="J586" s="4">
        <f>SUM(E:E)</f>
        <v>8348167350</v>
      </c>
      <c r="K586">
        <f>SUM(C:C)</f>
        <v>1017885</v>
      </c>
      <c r="L586">
        <f>MONTH(G:G)</f>
        <v>7</v>
      </c>
      <c r="M586">
        <f>YEAR(G:G)</f>
        <v>2026</v>
      </c>
    </row>
    <row r="587" spans="1:13" x14ac:dyDescent="0.25">
      <c r="A587" s="1" t="s">
        <v>20</v>
      </c>
      <c r="B587" s="1" t="s">
        <v>19</v>
      </c>
      <c r="C587">
        <v>684</v>
      </c>
      <c r="D587">
        <v>30780000</v>
      </c>
      <c r="E587">
        <v>25992000</v>
      </c>
      <c r="F587">
        <v>4788000</v>
      </c>
      <c r="G587" s="2">
        <v>46214</v>
      </c>
      <c r="H587" s="3">
        <f>SUM(D:D)</f>
        <v>10447536600</v>
      </c>
      <c r="I587" s="4">
        <f>SUM(F:F)</f>
        <v>2099369250</v>
      </c>
      <c r="J587" s="4">
        <f>SUM(E:E)</f>
        <v>8348167350</v>
      </c>
      <c r="K587">
        <f>SUM(C:C)</f>
        <v>1017885</v>
      </c>
      <c r="L587">
        <f>MONTH(G:G)</f>
        <v>7</v>
      </c>
      <c r="M587">
        <f>YEAR(G:G)</f>
        <v>2026</v>
      </c>
    </row>
    <row r="588" spans="1:13" x14ac:dyDescent="0.25">
      <c r="A588" s="1" t="s">
        <v>7</v>
      </c>
      <c r="B588" s="1" t="s">
        <v>23</v>
      </c>
      <c r="C588">
        <v>2106</v>
      </c>
      <c r="D588">
        <v>10530000</v>
      </c>
      <c r="E588">
        <v>8845200</v>
      </c>
      <c r="F588">
        <v>1684800</v>
      </c>
      <c r="G588" s="2">
        <v>46228</v>
      </c>
      <c r="H588" s="3">
        <f>SUM(D:D)</f>
        <v>10447536600</v>
      </c>
      <c r="I588" s="4">
        <f>SUM(F:F)</f>
        <v>2099369250</v>
      </c>
      <c r="J588" s="4">
        <f>SUM(E:E)</f>
        <v>8348167350</v>
      </c>
      <c r="K588">
        <f>SUM(C:C)</f>
        <v>1017885</v>
      </c>
      <c r="L588">
        <f>MONTH(G:G)</f>
        <v>7</v>
      </c>
      <c r="M588">
        <f>YEAR(G:G)</f>
        <v>2026</v>
      </c>
    </row>
    <row r="589" spans="1:13" x14ac:dyDescent="0.25">
      <c r="A589" s="1" t="s">
        <v>21</v>
      </c>
      <c r="B589" s="1" t="s">
        <v>14</v>
      </c>
      <c r="C589">
        <v>602</v>
      </c>
      <c r="D589">
        <v>722400</v>
      </c>
      <c r="E589">
        <v>481600</v>
      </c>
      <c r="F589">
        <v>240800</v>
      </c>
      <c r="G589" s="2">
        <v>46223</v>
      </c>
      <c r="H589" s="3">
        <f>SUM(D:D)</f>
        <v>10447536600</v>
      </c>
      <c r="I589" s="4">
        <f>SUM(F:F)</f>
        <v>2099369250</v>
      </c>
      <c r="J589" s="4">
        <f>SUM(E:E)</f>
        <v>8348167350</v>
      </c>
      <c r="K589">
        <f>SUM(C:C)</f>
        <v>1017885</v>
      </c>
      <c r="L589">
        <f>MONTH(G:G)</f>
        <v>7</v>
      </c>
      <c r="M589">
        <f>YEAR(G:G)</f>
        <v>2026</v>
      </c>
    </row>
    <row r="590" spans="1:13" x14ac:dyDescent="0.25">
      <c r="A590" s="1" t="s">
        <v>22</v>
      </c>
      <c r="B590" s="1" t="s">
        <v>17</v>
      </c>
      <c r="C590">
        <v>1610</v>
      </c>
      <c r="D590">
        <v>24150000</v>
      </c>
      <c r="E590">
        <v>17710000</v>
      </c>
      <c r="F590">
        <v>6440000</v>
      </c>
      <c r="G590" s="2">
        <v>46233</v>
      </c>
      <c r="H590" s="3">
        <f>SUM(D:D)</f>
        <v>10447536600</v>
      </c>
      <c r="I590" s="4">
        <f>SUM(F:F)</f>
        <v>2099369250</v>
      </c>
      <c r="J590" s="4">
        <f>SUM(E:E)</f>
        <v>8348167350</v>
      </c>
      <c r="K590">
        <f>SUM(C:C)</f>
        <v>1017885</v>
      </c>
      <c r="L590">
        <f>MONTH(G:G)</f>
        <v>7</v>
      </c>
      <c r="M590">
        <f>YEAR(G:G)</f>
        <v>2026</v>
      </c>
    </row>
    <row r="591" spans="1:13" x14ac:dyDescent="0.25">
      <c r="A591" s="1" t="s">
        <v>9</v>
      </c>
      <c r="B591" s="1" t="s">
        <v>23</v>
      </c>
      <c r="C591">
        <v>2219</v>
      </c>
      <c r="D591">
        <v>11095000</v>
      </c>
      <c r="E591">
        <v>9319800</v>
      </c>
      <c r="F591">
        <v>1775200</v>
      </c>
      <c r="G591" s="2">
        <v>46232</v>
      </c>
      <c r="H591" s="3">
        <f>SUM(D:D)</f>
        <v>10447536600</v>
      </c>
      <c r="I591" s="4">
        <f>SUM(F:F)</f>
        <v>2099369250</v>
      </c>
      <c r="J591" s="4">
        <f>SUM(E:E)</f>
        <v>8348167350</v>
      </c>
      <c r="K591">
        <f>SUM(C:C)</f>
        <v>1017885</v>
      </c>
      <c r="L591">
        <f>MONTH(G:G)</f>
        <v>7</v>
      </c>
      <c r="M591">
        <f>YEAR(G:G)</f>
        <v>2026</v>
      </c>
    </row>
    <row r="592" spans="1:13" x14ac:dyDescent="0.25">
      <c r="A592" s="1" t="s">
        <v>21</v>
      </c>
      <c r="B592" s="1" t="s">
        <v>10</v>
      </c>
      <c r="C592">
        <v>494</v>
      </c>
      <c r="D592">
        <v>1729000</v>
      </c>
      <c r="E592">
        <v>1284400</v>
      </c>
      <c r="F592">
        <v>444600</v>
      </c>
      <c r="G592" s="2">
        <v>46206</v>
      </c>
      <c r="H592" s="3">
        <f>SUM(D:D)</f>
        <v>10447536600</v>
      </c>
      <c r="I592" s="4">
        <f>SUM(F:F)</f>
        <v>2099369250</v>
      </c>
      <c r="J592" s="4">
        <f>SUM(E:E)</f>
        <v>8348167350</v>
      </c>
      <c r="K592">
        <f>SUM(C:C)</f>
        <v>1017885</v>
      </c>
      <c r="L592">
        <f>MONTH(G:G)</f>
        <v>7</v>
      </c>
      <c r="M592">
        <f>YEAR(G:G)</f>
        <v>2026</v>
      </c>
    </row>
    <row r="593" spans="1:13" x14ac:dyDescent="0.25">
      <c r="A593" s="1" t="s">
        <v>20</v>
      </c>
      <c r="B593" s="1" t="s">
        <v>23</v>
      </c>
      <c r="C593">
        <v>1405</v>
      </c>
      <c r="D593">
        <v>7025000</v>
      </c>
      <c r="E593">
        <v>5901000</v>
      </c>
      <c r="F593">
        <v>1124000</v>
      </c>
      <c r="G593" s="2">
        <v>46218</v>
      </c>
      <c r="H593" s="3">
        <f>SUM(D:D)</f>
        <v>10447536600</v>
      </c>
      <c r="I593" s="4">
        <f>SUM(F:F)</f>
        <v>2099369250</v>
      </c>
      <c r="J593" s="4">
        <f>SUM(E:E)</f>
        <v>8348167350</v>
      </c>
      <c r="K593">
        <f>SUM(C:C)</f>
        <v>1017885</v>
      </c>
      <c r="L593">
        <f>MONTH(G:G)</f>
        <v>7</v>
      </c>
      <c r="M593">
        <f>YEAR(G:G)</f>
        <v>2026</v>
      </c>
    </row>
    <row r="594" spans="1:13" x14ac:dyDescent="0.25">
      <c r="A594" s="1" t="s">
        <v>22</v>
      </c>
      <c r="B594" s="1" t="s">
        <v>17</v>
      </c>
      <c r="C594">
        <v>843</v>
      </c>
      <c r="D594">
        <v>12645000</v>
      </c>
      <c r="E594">
        <v>9273000</v>
      </c>
      <c r="F594">
        <v>3372000</v>
      </c>
      <c r="G594" s="2">
        <v>46213</v>
      </c>
      <c r="H594" s="3">
        <f>SUM(D:D)</f>
        <v>10447536600</v>
      </c>
      <c r="I594" s="4">
        <f>SUM(F:F)</f>
        <v>2099369250</v>
      </c>
      <c r="J594" s="4">
        <f>SUM(E:E)</f>
        <v>8348167350</v>
      </c>
      <c r="K594">
        <f>SUM(C:C)</f>
        <v>1017885</v>
      </c>
      <c r="L594">
        <f>MONTH(G:G)</f>
        <v>7</v>
      </c>
      <c r="M594">
        <f>YEAR(G:G)</f>
        <v>2026</v>
      </c>
    </row>
    <row r="595" spans="1:13" x14ac:dyDescent="0.25">
      <c r="A595" s="1" t="s">
        <v>18</v>
      </c>
      <c r="B595" s="1" t="s">
        <v>17</v>
      </c>
      <c r="C595">
        <v>527</v>
      </c>
      <c r="D595">
        <v>7905000</v>
      </c>
      <c r="E595">
        <v>5797000</v>
      </c>
      <c r="F595">
        <v>2108000</v>
      </c>
      <c r="G595" s="2">
        <v>46208</v>
      </c>
      <c r="H595" s="3">
        <f>SUM(D:D)</f>
        <v>10447536600</v>
      </c>
      <c r="I595" s="4">
        <f>SUM(F:F)</f>
        <v>2099369250</v>
      </c>
      <c r="J595" s="4">
        <f>SUM(E:E)</f>
        <v>8348167350</v>
      </c>
      <c r="K595">
        <f>SUM(C:C)</f>
        <v>1017885</v>
      </c>
      <c r="L595">
        <f>MONTH(G:G)</f>
        <v>7</v>
      </c>
      <c r="M595">
        <f>YEAR(G:G)</f>
        <v>2026</v>
      </c>
    </row>
    <row r="596" spans="1:13" x14ac:dyDescent="0.25">
      <c r="A596" s="1" t="s">
        <v>13</v>
      </c>
      <c r="B596" s="1" t="s">
        <v>8</v>
      </c>
      <c r="C596">
        <v>2390</v>
      </c>
      <c r="D596">
        <v>7170000</v>
      </c>
      <c r="E596">
        <v>4302000</v>
      </c>
      <c r="F596">
        <v>2868000</v>
      </c>
      <c r="G596" s="2">
        <v>46222</v>
      </c>
      <c r="H596" s="3">
        <f>SUM(D:D)</f>
        <v>10447536600</v>
      </c>
      <c r="I596" s="4">
        <f>SUM(F:F)</f>
        <v>2099369250</v>
      </c>
      <c r="J596" s="4">
        <f>SUM(E:E)</f>
        <v>8348167350</v>
      </c>
      <c r="K596">
        <f>SUM(C:C)</f>
        <v>1017885</v>
      </c>
      <c r="L596">
        <f>MONTH(G:G)</f>
        <v>7</v>
      </c>
      <c r="M596">
        <f>YEAR(G:G)</f>
        <v>2026</v>
      </c>
    </row>
    <row r="597" spans="1:13" x14ac:dyDescent="0.25">
      <c r="A597" s="1" t="s">
        <v>13</v>
      </c>
      <c r="B597" s="1" t="s">
        <v>23</v>
      </c>
      <c r="C597">
        <v>2328</v>
      </c>
      <c r="D597">
        <v>11640000</v>
      </c>
      <c r="E597">
        <v>9777600</v>
      </c>
      <c r="F597">
        <v>1862400</v>
      </c>
      <c r="G597" s="2">
        <v>46217</v>
      </c>
      <c r="H597" s="3">
        <f>SUM(D:D)</f>
        <v>10447536600</v>
      </c>
      <c r="I597" s="4">
        <f>SUM(F:F)</f>
        <v>2099369250</v>
      </c>
      <c r="J597" s="4">
        <f>SUM(E:E)</f>
        <v>8348167350</v>
      </c>
      <c r="K597">
        <f>SUM(C:C)</f>
        <v>1017885</v>
      </c>
      <c r="L597">
        <f>MONTH(G:G)</f>
        <v>7</v>
      </c>
      <c r="M597">
        <f>YEAR(G:G)</f>
        <v>2026</v>
      </c>
    </row>
    <row r="598" spans="1:13" x14ac:dyDescent="0.25">
      <c r="A598" s="1" t="s">
        <v>18</v>
      </c>
      <c r="B598" s="1" t="s">
        <v>17</v>
      </c>
      <c r="C598">
        <v>2761</v>
      </c>
      <c r="D598">
        <v>41415000</v>
      </c>
      <c r="E598">
        <v>30371000</v>
      </c>
      <c r="F598">
        <v>11044000</v>
      </c>
      <c r="G598" s="2">
        <v>46262</v>
      </c>
      <c r="H598" s="3">
        <f>SUM(D:D)</f>
        <v>10447536600</v>
      </c>
      <c r="I598" s="4">
        <f>SUM(F:F)</f>
        <v>2099369250</v>
      </c>
      <c r="J598" s="4">
        <f>SUM(E:E)</f>
        <v>8348167350</v>
      </c>
      <c r="K598">
        <f>SUM(C:C)</f>
        <v>1017885</v>
      </c>
      <c r="L598">
        <f>MONTH(G:G)</f>
        <v>8</v>
      </c>
      <c r="M598">
        <f>YEAR(G:G)</f>
        <v>2026</v>
      </c>
    </row>
    <row r="599" spans="1:13" x14ac:dyDescent="0.25">
      <c r="A599" s="1" t="s">
        <v>22</v>
      </c>
      <c r="B599" s="1" t="s">
        <v>17</v>
      </c>
      <c r="C599">
        <v>110</v>
      </c>
      <c r="D599">
        <v>1650000</v>
      </c>
      <c r="E599">
        <v>1210000</v>
      </c>
      <c r="F599">
        <v>440000</v>
      </c>
      <c r="G599" s="2">
        <v>46259</v>
      </c>
      <c r="H599" s="3">
        <f>SUM(D:D)</f>
        <v>10447536600</v>
      </c>
      <c r="I599" s="4">
        <f>SUM(F:F)</f>
        <v>2099369250</v>
      </c>
      <c r="J599" s="4">
        <f>SUM(E:E)</f>
        <v>8348167350</v>
      </c>
      <c r="K599">
        <f>SUM(C:C)</f>
        <v>1017885</v>
      </c>
      <c r="L599">
        <f>MONTH(G:G)</f>
        <v>8</v>
      </c>
      <c r="M599">
        <f>YEAR(G:G)</f>
        <v>2026</v>
      </c>
    </row>
    <row r="600" spans="1:13" x14ac:dyDescent="0.25">
      <c r="A600" s="1" t="s">
        <v>15</v>
      </c>
      <c r="B600" s="1" t="s">
        <v>17</v>
      </c>
      <c r="C600">
        <v>988</v>
      </c>
      <c r="D600">
        <v>14820000</v>
      </c>
      <c r="E600">
        <v>10868000</v>
      </c>
      <c r="F600">
        <v>3952000</v>
      </c>
      <c r="G600" s="2">
        <v>46265</v>
      </c>
      <c r="H600" s="3">
        <f>SUM(D:D)</f>
        <v>10447536600</v>
      </c>
      <c r="I600" s="4">
        <f>SUM(F:F)</f>
        <v>2099369250</v>
      </c>
      <c r="J600" s="4">
        <f>SUM(E:E)</f>
        <v>8348167350</v>
      </c>
      <c r="K600">
        <f>SUM(C:C)</f>
        <v>1017885</v>
      </c>
      <c r="L600">
        <f>MONTH(G:G)</f>
        <v>8</v>
      </c>
      <c r="M600">
        <f>YEAR(G:G)</f>
        <v>2026</v>
      </c>
    </row>
    <row r="601" spans="1:13" x14ac:dyDescent="0.25">
      <c r="A601" s="1" t="s">
        <v>20</v>
      </c>
      <c r="B601" s="1" t="s">
        <v>19</v>
      </c>
      <c r="C601">
        <v>2139</v>
      </c>
      <c r="D601">
        <v>96255000</v>
      </c>
      <c r="E601">
        <v>81282000</v>
      </c>
      <c r="F601">
        <v>14973000</v>
      </c>
      <c r="G601" s="2">
        <v>46253</v>
      </c>
      <c r="H601" s="3">
        <f>SUM(D:D)</f>
        <v>10447536600</v>
      </c>
      <c r="I601" s="4">
        <f>SUM(F:F)</f>
        <v>2099369250</v>
      </c>
      <c r="J601" s="4">
        <f>SUM(E:E)</f>
        <v>8348167350</v>
      </c>
      <c r="K601">
        <f>SUM(C:C)</f>
        <v>1017885</v>
      </c>
      <c r="L601">
        <f>MONTH(G:G)</f>
        <v>8</v>
      </c>
      <c r="M601">
        <f>YEAR(G:G)</f>
        <v>2026</v>
      </c>
    </row>
    <row r="602" spans="1:13" x14ac:dyDescent="0.25">
      <c r="A602" s="1" t="s">
        <v>9</v>
      </c>
      <c r="B602" s="1" t="s">
        <v>23</v>
      </c>
      <c r="C602">
        <v>1090</v>
      </c>
      <c r="D602">
        <v>5450000</v>
      </c>
      <c r="E602">
        <v>4578000</v>
      </c>
      <c r="F602">
        <v>872000</v>
      </c>
      <c r="G602" s="2">
        <v>46235</v>
      </c>
      <c r="H602" s="3">
        <f>SUM(D:D)</f>
        <v>10447536600</v>
      </c>
      <c r="I602" s="4">
        <f>SUM(F:F)</f>
        <v>2099369250</v>
      </c>
      <c r="J602" s="4">
        <f>SUM(E:E)</f>
        <v>8348167350</v>
      </c>
      <c r="K602">
        <f>SUM(C:C)</f>
        <v>1017885</v>
      </c>
      <c r="L602">
        <f>MONTH(G:G)</f>
        <v>8</v>
      </c>
      <c r="M602">
        <f>YEAR(G:G)</f>
        <v>2026</v>
      </c>
    </row>
    <row r="603" spans="1:13" x14ac:dyDescent="0.25">
      <c r="A603" s="1" t="s">
        <v>22</v>
      </c>
      <c r="B603" s="1" t="s">
        <v>10</v>
      </c>
      <c r="C603">
        <v>1089</v>
      </c>
      <c r="D603">
        <v>3811500</v>
      </c>
      <c r="E603">
        <v>2831400</v>
      </c>
      <c r="F603">
        <v>980100</v>
      </c>
      <c r="G603" s="2">
        <v>46255</v>
      </c>
      <c r="H603" s="3">
        <f>SUM(D:D)</f>
        <v>10447536600</v>
      </c>
      <c r="I603" s="4">
        <f>SUM(F:F)</f>
        <v>2099369250</v>
      </c>
      <c r="J603" s="4">
        <f>SUM(E:E)</f>
        <v>8348167350</v>
      </c>
      <c r="K603">
        <f>SUM(C:C)</f>
        <v>1017885</v>
      </c>
      <c r="L603">
        <f>MONTH(G:G)</f>
        <v>8</v>
      </c>
      <c r="M603">
        <f>YEAR(G:G)</f>
        <v>2026</v>
      </c>
    </row>
    <row r="604" spans="1:13" x14ac:dyDescent="0.25">
      <c r="A604" s="1" t="s">
        <v>7</v>
      </c>
      <c r="B604" s="1" t="s">
        <v>14</v>
      </c>
      <c r="C604">
        <v>1039</v>
      </c>
      <c r="D604">
        <v>1246800</v>
      </c>
      <c r="E604">
        <v>831200</v>
      </c>
      <c r="F604">
        <v>415600</v>
      </c>
      <c r="G604" s="2">
        <v>46250</v>
      </c>
      <c r="H604" s="3">
        <f>SUM(D:D)</f>
        <v>10447536600</v>
      </c>
      <c r="I604" s="4">
        <f>SUM(F:F)</f>
        <v>2099369250</v>
      </c>
      <c r="J604" s="4">
        <f>SUM(E:E)</f>
        <v>8348167350</v>
      </c>
      <c r="K604">
        <f>SUM(C:C)</f>
        <v>1017885</v>
      </c>
      <c r="L604">
        <f>MONTH(G:G)</f>
        <v>8</v>
      </c>
      <c r="M604">
        <f>YEAR(G:G)</f>
        <v>2026</v>
      </c>
    </row>
    <row r="605" spans="1:13" x14ac:dyDescent="0.25">
      <c r="A605" s="1" t="s">
        <v>21</v>
      </c>
      <c r="B605" s="1" t="s">
        <v>17</v>
      </c>
      <c r="C605">
        <v>1516</v>
      </c>
      <c r="D605">
        <v>22740000</v>
      </c>
      <c r="E605">
        <v>16676000</v>
      </c>
      <c r="F605">
        <v>6064000</v>
      </c>
      <c r="G605" s="2">
        <v>46243</v>
      </c>
      <c r="H605" s="3">
        <f>SUM(D:D)</f>
        <v>10447536600</v>
      </c>
      <c r="I605" s="4">
        <f>SUM(F:F)</f>
        <v>2099369250</v>
      </c>
      <c r="J605" s="4">
        <f>SUM(E:E)</f>
        <v>8348167350</v>
      </c>
      <c r="K605">
        <f>SUM(C:C)</f>
        <v>1017885</v>
      </c>
      <c r="L605">
        <f>MONTH(G:G)</f>
        <v>8</v>
      </c>
      <c r="M605">
        <f>YEAR(G:G)</f>
        <v>2026</v>
      </c>
    </row>
    <row r="606" spans="1:13" x14ac:dyDescent="0.25">
      <c r="A606" s="1" t="s">
        <v>9</v>
      </c>
      <c r="B606" s="1" t="s">
        <v>8</v>
      </c>
      <c r="C606">
        <v>294</v>
      </c>
      <c r="D606">
        <v>882000</v>
      </c>
      <c r="E606">
        <v>529200</v>
      </c>
      <c r="F606">
        <v>352800</v>
      </c>
      <c r="G606" s="2">
        <v>46260</v>
      </c>
      <c r="H606" s="3">
        <f>SUM(D:D)</f>
        <v>10447536600</v>
      </c>
      <c r="I606" s="4">
        <f>SUM(F:F)</f>
        <v>2099369250</v>
      </c>
      <c r="J606" s="4">
        <f>SUM(E:E)</f>
        <v>8348167350</v>
      </c>
      <c r="K606">
        <f>SUM(C:C)</f>
        <v>1017885</v>
      </c>
      <c r="L606">
        <f>MONTH(G:G)</f>
        <v>8</v>
      </c>
      <c r="M606">
        <f>YEAR(G:G)</f>
        <v>2026</v>
      </c>
    </row>
    <row r="607" spans="1:13" x14ac:dyDescent="0.25">
      <c r="A607" s="1" t="s">
        <v>15</v>
      </c>
      <c r="B607" s="1" t="s">
        <v>17</v>
      </c>
      <c r="C607">
        <v>2284</v>
      </c>
      <c r="D607">
        <v>34260000</v>
      </c>
      <c r="E607">
        <v>25124000</v>
      </c>
      <c r="F607">
        <v>9136000</v>
      </c>
      <c r="G607" s="2">
        <v>46247</v>
      </c>
      <c r="H607" s="3">
        <f>SUM(D:D)</f>
        <v>10447536600</v>
      </c>
      <c r="I607" s="4">
        <f>SUM(F:F)</f>
        <v>2099369250</v>
      </c>
      <c r="J607" s="4">
        <f>SUM(E:E)</f>
        <v>8348167350</v>
      </c>
      <c r="K607">
        <f>SUM(C:C)</f>
        <v>1017885</v>
      </c>
      <c r="L607">
        <f>MONTH(G:G)</f>
        <v>8</v>
      </c>
      <c r="M607">
        <f>YEAR(G:G)</f>
        <v>2026</v>
      </c>
    </row>
    <row r="608" spans="1:13" x14ac:dyDescent="0.25">
      <c r="A608" s="1" t="s">
        <v>22</v>
      </c>
      <c r="B608" s="1" t="s">
        <v>17</v>
      </c>
      <c r="C608">
        <v>1037</v>
      </c>
      <c r="D608">
        <v>15555000</v>
      </c>
      <c r="E608">
        <v>11407000</v>
      </c>
      <c r="F608">
        <v>4148000</v>
      </c>
      <c r="G608" s="2">
        <v>46260</v>
      </c>
      <c r="H608" s="3">
        <f>SUM(D:D)</f>
        <v>10447536600</v>
      </c>
      <c r="I608" s="4">
        <f>SUM(F:F)</f>
        <v>2099369250</v>
      </c>
      <c r="J608" s="4">
        <f>SUM(E:E)</f>
        <v>8348167350</v>
      </c>
      <c r="K608">
        <f>SUM(C:C)</f>
        <v>1017885</v>
      </c>
      <c r="L608">
        <f>MONTH(G:G)</f>
        <v>8</v>
      </c>
      <c r="M608">
        <f>YEAR(G:G)</f>
        <v>2026</v>
      </c>
    </row>
    <row r="609" spans="1:13" x14ac:dyDescent="0.25">
      <c r="A609" s="1" t="s">
        <v>16</v>
      </c>
      <c r="B609" s="1" t="s">
        <v>10</v>
      </c>
      <c r="C609">
        <v>1675</v>
      </c>
      <c r="D609">
        <v>5862500</v>
      </c>
      <c r="E609">
        <v>4355000</v>
      </c>
      <c r="F609">
        <v>1507500</v>
      </c>
      <c r="G609" s="2">
        <v>46239</v>
      </c>
      <c r="H609" s="3">
        <f>SUM(D:D)</f>
        <v>10447536600</v>
      </c>
      <c r="I609" s="4">
        <f>SUM(F:F)</f>
        <v>2099369250</v>
      </c>
      <c r="J609" s="4">
        <f>SUM(E:E)</f>
        <v>8348167350</v>
      </c>
      <c r="K609">
        <f>SUM(C:C)</f>
        <v>1017885</v>
      </c>
      <c r="L609">
        <f>MONTH(G:G)</f>
        <v>8</v>
      </c>
      <c r="M609">
        <f>YEAR(G:G)</f>
        <v>2026</v>
      </c>
    </row>
    <row r="610" spans="1:13" x14ac:dyDescent="0.25">
      <c r="A610" s="1" t="s">
        <v>9</v>
      </c>
      <c r="B610" s="1" t="s">
        <v>19</v>
      </c>
      <c r="C610">
        <v>2189</v>
      </c>
      <c r="D610">
        <v>98505000</v>
      </c>
      <c r="E610">
        <v>83182000</v>
      </c>
      <c r="F610">
        <v>15323000</v>
      </c>
      <c r="G610" s="2">
        <v>46255</v>
      </c>
      <c r="H610" s="3">
        <f>SUM(D:D)</f>
        <v>10447536600</v>
      </c>
      <c r="I610" s="4">
        <f>SUM(F:F)</f>
        <v>2099369250</v>
      </c>
      <c r="J610" s="4">
        <f>SUM(E:E)</f>
        <v>8348167350</v>
      </c>
      <c r="K610">
        <f>SUM(C:C)</f>
        <v>1017885</v>
      </c>
      <c r="L610">
        <f>MONTH(G:G)</f>
        <v>8</v>
      </c>
      <c r="M610">
        <f>YEAR(G:G)</f>
        <v>2026</v>
      </c>
    </row>
    <row r="611" spans="1:13" x14ac:dyDescent="0.25">
      <c r="A611" s="1" t="s">
        <v>7</v>
      </c>
      <c r="B611" s="1" t="s">
        <v>10</v>
      </c>
      <c r="C611">
        <v>1873</v>
      </c>
      <c r="D611">
        <v>6555500</v>
      </c>
      <c r="E611">
        <v>4869800</v>
      </c>
      <c r="F611">
        <v>1685700</v>
      </c>
      <c r="G611" s="2">
        <v>46236</v>
      </c>
      <c r="H611" s="3">
        <f>SUM(D:D)</f>
        <v>10447536600</v>
      </c>
      <c r="I611" s="4">
        <f>SUM(F:F)</f>
        <v>2099369250</v>
      </c>
      <c r="J611" s="4">
        <f>SUM(E:E)</f>
        <v>8348167350</v>
      </c>
      <c r="K611">
        <f>SUM(C:C)</f>
        <v>1017885</v>
      </c>
      <c r="L611">
        <f>MONTH(G:G)</f>
        <v>8</v>
      </c>
      <c r="M611">
        <f>YEAR(G:G)</f>
        <v>2026</v>
      </c>
    </row>
    <row r="612" spans="1:13" x14ac:dyDescent="0.25">
      <c r="A612" s="1" t="s">
        <v>18</v>
      </c>
      <c r="B612" s="1" t="s">
        <v>8</v>
      </c>
      <c r="C612">
        <v>1023</v>
      </c>
      <c r="D612">
        <v>3069000</v>
      </c>
      <c r="E612">
        <v>1841400</v>
      </c>
      <c r="F612">
        <v>1227600</v>
      </c>
      <c r="G612" s="2">
        <v>46247</v>
      </c>
      <c r="H612" s="3">
        <f>SUM(D:D)</f>
        <v>10447536600</v>
      </c>
      <c r="I612" s="4">
        <f>SUM(F:F)</f>
        <v>2099369250</v>
      </c>
      <c r="J612" s="4">
        <f>SUM(E:E)</f>
        <v>8348167350</v>
      </c>
      <c r="K612">
        <f>SUM(C:C)</f>
        <v>1017885</v>
      </c>
      <c r="L612">
        <f>MONTH(G:G)</f>
        <v>8</v>
      </c>
      <c r="M612">
        <f>YEAR(G:G)</f>
        <v>2026</v>
      </c>
    </row>
    <row r="613" spans="1:13" x14ac:dyDescent="0.25">
      <c r="A613" s="1" t="s">
        <v>7</v>
      </c>
      <c r="B613" s="1" t="s">
        <v>17</v>
      </c>
      <c r="C613">
        <v>2484</v>
      </c>
      <c r="D613">
        <v>37260000</v>
      </c>
      <c r="E613">
        <v>27324000</v>
      </c>
      <c r="F613">
        <v>9936000</v>
      </c>
      <c r="G613" s="2">
        <v>46253</v>
      </c>
      <c r="H613" s="3">
        <f>SUM(D:D)</f>
        <v>10447536600</v>
      </c>
      <c r="I613" s="4">
        <f>SUM(F:F)</f>
        <v>2099369250</v>
      </c>
      <c r="J613" s="4">
        <f>SUM(E:E)</f>
        <v>8348167350</v>
      </c>
      <c r="K613">
        <f>SUM(C:C)</f>
        <v>1017885</v>
      </c>
      <c r="L613">
        <f>MONTH(G:G)</f>
        <v>8</v>
      </c>
      <c r="M613">
        <f>YEAR(G:G)</f>
        <v>2026</v>
      </c>
    </row>
    <row r="614" spans="1:13" x14ac:dyDescent="0.25">
      <c r="A614" s="1" t="s">
        <v>15</v>
      </c>
      <c r="B614" s="1" t="s">
        <v>14</v>
      </c>
      <c r="C614">
        <v>1009</v>
      </c>
      <c r="D614">
        <v>1210800</v>
      </c>
      <c r="E614">
        <v>807200</v>
      </c>
      <c r="F614">
        <v>403600</v>
      </c>
      <c r="G614" s="2">
        <v>46237</v>
      </c>
      <c r="H614" s="3">
        <f>SUM(D:D)</f>
        <v>10447536600</v>
      </c>
      <c r="I614" s="4">
        <f>SUM(F:F)</f>
        <v>2099369250</v>
      </c>
      <c r="J614" s="4">
        <f>SUM(E:E)</f>
        <v>8348167350</v>
      </c>
      <c r="K614">
        <f>SUM(C:C)</f>
        <v>1017885</v>
      </c>
      <c r="L614">
        <f>MONTH(G:G)</f>
        <v>8</v>
      </c>
      <c r="M614">
        <f>YEAR(G:G)</f>
        <v>2026</v>
      </c>
    </row>
    <row r="615" spans="1:13" x14ac:dyDescent="0.25">
      <c r="A615" s="1" t="s">
        <v>16</v>
      </c>
      <c r="B615" s="1" t="s">
        <v>23</v>
      </c>
      <c r="C615">
        <v>2013</v>
      </c>
      <c r="D615">
        <v>10065000</v>
      </c>
      <c r="E615">
        <v>8454600</v>
      </c>
      <c r="F615">
        <v>1610400</v>
      </c>
      <c r="G615" s="2">
        <v>46254</v>
      </c>
      <c r="H615" s="3">
        <f>SUM(D:D)</f>
        <v>10447536600</v>
      </c>
      <c r="I615" s="4">
        <f>SUM(F:F)</f>
        <v>2099369250</v>
      </c>
      <c r="J615" s="4">
        <f>SUM(E:E)</f>
        <v>8348167350</v>
      </c>
      <c r="K615">
        <f>SUM(C:C)</f>
        <v>1017885</v>
      </c>
      <c r="L615">
        <f>MONTH(G:G)</f>
        <v>8</v>
      </c>
      <c r="M615">
        <f>YEAR(G:G)</f>
        <v>2026</v>
      </c>
    </row>
    <row r="616" spans="1:13" x14ac:dyDescent="0.25">
      <c r="A616" s="1" t="s">
        <v>7</v>
      </c>
      <c r="B616" s="1" t="s">
        <v>8</v>
      </c>
      <c r="C616">
        <v>2629</v>
      </c>
      <c r="D616">
        <v>7887000</v>
      </c>
      <c r="E616">
        <v>4732200</v>
      </c>
      <c r="F616">
        <v>3154800</v>
      </c>
      <c r="G616" s="2">
        <v>46262</v>
      </c>
      <c r="H616" s="3">
        <f>SUM(D:D)</f>
        <v>10447536600</v>
      </c>
      <c r="I616" s="4">
        <f>SUM(F:F)</f>
        <v>2099369250</v>
      </c>
      <c r="J616" s="4">
        <f>SUM(E:E)</f>
        <v>8348167350</v>
      </c>
      <c r="K616">
        <f>SUM(C:C)</f>
        <v>1017885</v>
      </c>
      <c r="L616">
        <f>MONTH(G:G)</f>
        <v>8</v>
      </c>
      <c r="M616">
        <f>YEAR(G:G)</f>
        <v>2026</v>
      </c>
    </row>
    <row r="617" spans="1:13" x14ac:dyDescent="0.25">
      <c r="A617" s="1" t="s">
        <v>22</v>
      </c>
      <c r="B617" s="1" t="s">
        <v>17</v>
      </c>
      <c r="C617">
        <v>1319</v>
      </c>
      <c r="D617">
        <v>19785000</v>
      </c>
      <c r="E617">
        <v>14509000</v>
      </c>
      <c r="F617">
        <v>5276000</v>
      </c>
      <c r="G617" s="2">
        <v>46264</v>
      </c>
      <c r="H617" s="3">
        <f>SUM(D:D)</f>
        <v>10447536600</v>
      </c>
      <c r="I617" s="4">
        <f>SUM(F:F)</f>
        <v>2099369250</v>
      </c>
      <c r="J617" s="4">
        <f>SUM(E:E)</f>
        <v>8348167350</v>
      </c>
      <c r="K617">
        <f>SUM(C:C)</f>
        <v>1017885</v>
      </c>
      <c r="L617">
        <f>MONTH(G:G)</f>
        <v>8</v>
      </c>
      <c r="M617">
        <f>YEAR(G:G)</f>
        <v>2026</v>
      </c>
    </row>
    <row r="618" spans="1:13" x14ac:dyDescent="0.25">
      <c r="A618" s="1" t="s">
        <v>9</v>
      </c>
      <c r="B618" s="1" t="s">
        <v>23</v>
      </c>
      <c r="C618">
        <v>1678</v>
      </c>
      <c r="D618">
        <v>8390000</v>
      </c>
      <c r="E618">
        <v>7047600</v>
      </c>
      <c r="F618">
        <v>1342400</v>
      </c>
      <c r="G618" s="2">
        <v>46235</v>
      </c>
      <c r="H618" s="3">
        <f>SUM(D:D)</f>
        <v>10447536600</v>
      </c>
      <c r="I618" s="4">
        <f>SUM(F:F)</f>
        <v>2099369250</v>
      </c>
      <c r="J618" s="4">
        <f>SUM(E:E)</f>
        <v>8348167350</v>
      </c>
      <c r="K618">
        <f>SUM(C:C)</f>
        <v>1017885</v>
      </c>
      <c r="L618">
        <f>MONTH(G:G)</f>
        <v>8</v>
      </c>
      <c r="M618">
        <f>YEAR(G:G)</f>
        <v>2026</v>
      </c>
    </row>
    <row r="619" spans="1:13" x14ac:dyDescent="0.25">
      <c r="A619" s="1" t="s">
        <v>22</v>
      </c>
      <c r="B619" s="1" t="s">
        <v>19</v>
      </c>
      <c r="C619">
        <v>1324</v>
      </c>
      <c r="D619">
        <v>59580000</v>
      </c>
      <c r="E619">
        <v>50312000</v>
      </c>
      <c r="F619">
        <v>9268000</v>
      </c>
      <c r="G619" s="2">
        <v>46245</v>
      </c>
      <c r="H619" s="3">
        <f>SUM(D:D)</f>
        <v>10447536600</v>
      </c>
      <c r="I619" s="4">
        <f>SUM(F:F)</f>
        <v>2099369250</v>
      </c>
      <c r="J619" s="4">
        <f>SUM(E:E)</f>
        <v>8348167350</v>
      </c>
      <c r="K619">
        <f>SUM(C:C)</f>
        <v>1017885</v>
      </c>
      <c r="L619">
        <f>MONTH(G:G)</f>
        <v>8</v>
      </c>
      <c r="M619">
        <f>YEAR(G:G)</f>
        <v>2026</v>
      </c>
    </row>
    <row r="620" spans="1:13" x14ac:dyDescent="0.25">
      <c r="A620" s="1" t="s">
        <v>22</v>
      </c>
      <c r="B620" s="1" t="s">
        <v>17</v>
      </c>
      <c r="C620">
        <v>2608</v>
      </c>
      <c r="D620">
        <v>39120000</v>
      </c>
      <c r="E620">
        <v>28688000</v>
      </c>
      <c r="F620">
        <v>10432000</v>
      </c>
      <c r="G620" s="2">
        <v>46257</v>
      </c>
      <c r="H620" s="3">
        <f>SUM(D:D)</f>
        <v>10447536600</v>
      </c>
      <c r="I620" s="4">
        <f>SUM(F:F)</f>
        <v>2099369250</v>
      </c>
      <c r="J620" s="4">
        <f>SUM(E:E)</f>
        <v>8348167350</v>
      </c>
      <c r="K620">
        <f>SUM(C:C)</f>
        <v>1017885</v>
      </c>
      <c r="L620">
        <f>MONTH(G:G)</f>
        <v>8</v>
      </c>
      <c r="M620">
        <f>YEAR(G:G)</f>
        <v>2026</v>
      </c>
    </row>
    <row r="621" spans="1:13" x14ac:dyDescent="0.25">
      <c r="A621" s="1" t="s">
        <v>16</v>
      </c>
      <c r="B621" s="1" t="s">
        <v>14</v>
      </c>
      <c r="C621">
        <v>2790</v>
      </c>
      <c r="D621">
        <v>3348000</v>
      </c>
      <c r="E621">
        <v>2232000</v>
      </c>
      <c r="F621">
        <v>1116000</v>
      </c>
      <c r="G621" s="2">
        <v>46251</v>
      </c>
      <c r="H621" s="3">
        <f>SUM(D:D)</f>
        <v>10447536600</v>
      </c>
      <c r="I621" s="4">
        <f>SUM(F:F)</f>
        <v>2099369250</v>
      </c>
      <c r="J621" s="4">
        <f>SUM(E:E)</f>
        <v>8348167350</v>
      </c>
      <c r="K621">
        <f>SUM(C:C)</f>
        <v>1017885</v>
      </c>
      <c r="L621">
        <f>MONTH(G:G)</f>
        <v>8</v>
      </c>
      <c r="M621">
        <f>YEAR(G:G)</f>
        <v>2026</v>
      </c>
    </row>
    <row r="622" spans="1:13" x14ac:dyDescent="0.25">
      <c r="A622" s="1" t="s">
        <v>7</v>
      </c>
      <c r="B622" s="1" t="s">
        <v>14</v>
      </c>
      <c r="C622">
        <v>1444</v>
      </c>
      <c r="D622">
        <v>1732800</v>
      </c>
      <c r="E622">
        <v>1155200</v>
      </c>
      <c r="F622">
        <v>577600</v>
      </c>
      <c r="G622" s="2">
        <v>46278</v>
      </c>
      <c r="H622" s="3">
        <f>SUM(D:D)</f>
        <v>10447536600</v>
      </c>
      <c r="I622" s="4">
        <f>SUM(F:F)</f>
        <v>2099369250</v>
      </c>
      <c r="J622" s="4">
        <f>SUM(E:E)</f>
        <v>8348167350</v>
      </c>
      <c r="K622">
        <f>SUM(C:C)</f>
        <v>1017885</v>
      </c>
      <c r="L622">
        <f>MONTH(G:G)</f>
        <v>9</v>
      </c>
      <c r="M622">
        <f>YEAR(G:G)</f>
        <v>2026</v>
      </c>
    </row>
    <row r="623" spans="1:13" x14ac:dyDescent="0.25">
      <c r="A623" s="1" t="s">
        <v>16</v>
      </c>
      <c r="B623" s="1" t="s">
        <v>12</v>
      </c>
      <c r="C623">
        <v>1362</v>
      </c>
      <c r="D623">
        <v>1634400</v>
      </c>
      <c r="E623">
        <v>1157700</v>
      </c>
      <c r="F623">
        <v>476700</v>
      </c>
      <c r="G623" s="2">
        <v>46292</v>
      </c>
      <c r="H623" s="3">
        <f>SUM(D:D)</f>
        <v>10447536600</v>
      </c>
      <c r="I623" s="4">
        <f>SUM(F:F)</f>
        <v>2099369250</v>
      </c>
      <c r="J623" s="4">
        <f>SUM(E:E)</f>
        <v>8348167350</v>
      </c>
      <c r="K623">
        <f>SUM(C:C)</f>
        <v>1017885</v>
      </c>
      <c r="L623">
        <f>MONTH(G:G)</f>
        <v>9</v>
      </c>
      <c r="M623">
        <f>YEAR(G:G)</f>
        <v>2026</v>
      </c>
    </row>
    <row r="624" spans="1:13" x14ac:dyDescent="0.25">
      <c r="A624" s="1" t="s">
        <v>18</v>
      </c>
      <c r="B624" s="1" t="s">
        <v>17</v>
      </c>
      <c r="C624">
        <v>2372</v>
      </c>
      <c r="D624">
        <v>35580000</v>
      </c>
      <c r="E624">
        <v>26092000</v>
      </c>
      <c r="F624">
        <v>9488000</v>
      </c>
      <c r="G624" s="2">
        <v>46266</v>
      </c>
      <c r="H624" s="3">
        <f>SUM(D:D)</f>
        <v>10447536600</v>
      </c>
      <c r="I624" s="4">
        <f>SUM(F:F)</f>
        <v>2099369250</v>
      </c>
      <c r="J624" s="4">
        <f>SUM(E:E)</f>
        <v>8348167350</v>
      </c>
      <c r="K624">
        <f>SUM(C:C)</f>
        <v>1017885</v>
      </c>
      <c r="L624">
        <f>MONTH(G:G)</f>
        <v>9</v>
      </c>
      <c r="M624">
        <f>YEAR(G:G)</f>
        <v>2026</v>
      </c>
    </row>
    <row r="625" spans="1:13" x14ac:dyDescent="0.25">
      <c r="A625" s="1" t="s">
        <v>16</v>
      </c>
      <c r="B625" s="1" t="s">
        <v>8</v>
      </c>
      <c r="C625">
        <v>232</v>
      </c>
      <c r="D625">
        <v>696000</v>
      </c>
      <c r="E625">
        <v>417600</v>
      </c>
      <c r="F625">
        <v>278400</v>
      </c>
      <c r="G625" s="2">
        <v>46275</v>
      </c>
      <c r="H625" s="3">
        <f>SUM(D:D)</f>
        <v>10447536600</v>
      </c>
      <c r="I625" s="4">
        <f>SUM(F:F)</f>
        <v>2099369250</v>
      </c>
      <c r="J625" s="4">
        <f>SUM(E:E)</f>
        <v>8348167350</v>
      </c>
      <c r="K625">
        <f>SUM(C:C)</f>
        <v>1017885</v>
      </c>
      <c r="L625">
        <f>MONTH(G:G)</f>
        <v>9</v>
      </c>
      <c r="M625">
        <f>YEAR(G:G)</f>
        <v>2026</v>
      </c>
    </row>
    <row r="626" spans="1:13" x14ac:dyDescent="0.25">
      <c r="A626" s="1" t="s">
        <v>9</v>
      </c>
      <c r="B626" s="1" t="s">
        <v>12</v>
      </c>
      <c r="C626">
        <v>2511</v>
      </c>
      <c r="D626">
        <v>3013200</v>
      </c>
      <c r="E626">
        <v>2134350</v>
      </c>
      <c r="F626">
        <v>878850</v>
      </c>
      <c r="G626" s="2">
        <v>46284</v>
      </c>
      <c r="H626" s="3">
        <f>SUM(D:D)</f>
        <v>10447536600</v>
      </c>
      <c r="I626" s="4">
        <f>SUM(F:F)</f>
        <v>2099369250</v>
      </c>
      <c r="J626" s="4">
        <f>SUM(E:E)</f>
        <v>8348167350</v>
      </c>
      <c r="K626">
        <f>SUM(C:C)</f>
        <v>1017885</v>
      </c>
      <c r="L626">
        <f>MONTH(G:G)</f>
        <v>9</v>
      </c>
      <c r="M626">
        <f>YEAR(G:G)</f>
        <v>2026</v>
      </c>
    </row>
    <row r="627" spans="1:13" x14ac:dyDescent="0.25">
      <c r="A627" s="1" t="s">
        <v>13</v>
      </c>
      <c r="B627" s="1" t="s">
        <v>12</v>
      </c>
      <c r="C627">
        <v>526</v>
      </c>
      <c r="D627">
        <v>631200</v>
      </c>
      <c r="E627">
        <v>447100</v>
      </c>
      <c r="F627">
        <v>184100</v>
      </c>
      <c r="G627" s="2">
        <v>46279</v>
      </c>
      <c r="H627" s="3">
        <f>SUM(D:D)</f>
        <v>10447536600</v>
      </c>
      <c r="I627" s="4">
        <f>SUM(F:F)</f>
        <v>2099369250</v>
      </c>
      <c r="J627" s="4">
        <f>SUM(E:E)</f>
        <v>8348167350</v>
      </c>
      <c r="K627">
        <f>SUM(C:C)</f>
        <v>1017885</v>
      </c>
      <c r="L627">
        <f>MONTH(G:G)</f>
        <v>9</v>
      </c>
      <c r="M627">
        <f>YEAR(G:G)</f>
        <v>2026</v>
      </c>
    </row>
    <row r="628" spans="1:13" x14ac:dyDescent="0.25">
      <c r="A628" s="1" t="s">
        <v>9</v>
      </c>
      <c r="B628" s="1" t="s">
        <v>19</v>
      </c>
      <c r="C628">
        <v>389</v>
      </c>
      <c r="D628">
        <v>17505000</v>
      </c>
      <c r="E628">
        <v>14782000</v>
      </c>
      <c r="F628">
        <v>2723000</v>
      </c>
      <c r="G628" s="2">
        <v>46290</v>
      </c>
      <c r="H628" s="3">
        <f>SUM(D:D)</f>
        <v>10447536600</v>
      </c>
      <c r="I628" s="4">
        <f>SUM(F:F)</f>
        <v>2099369250</v>
      </c>
      <c r="J628" s="4">
        <f>SUM(E:E)</f>
        <v>8348167350</v>
      </c>
      <c r="K628">
        <f>SUM(C:C)</f>
        <v>1017885</v>
      </c>
      <c r="L628">
        <f>MONTH(G:G)</f>
        <v>9</v>
      </c>
      <c r="M628">
        <f>YEAR(G:G)</f>
        <v>2026</v>
      </c>
    </row>
    <row r="629" spans="1:13" x14ac:dyDescent="0.25">
      <c r="A629" s="1" t="s">
        <v>22</v>
      </c>
      <c r="B629" s="1" t="s">
        <v>14</v>
      </c>
      <c r="C629">
        <v>2682</v>
      </c>
      <c r="D629">
        <v>3218400</v>
      </c>
      <c r="E629">
        <v>2145600</v>
      </c>
      <c r="F629">
        <v>1072800</v>
      </c>
      <c r="G629" s="2">
        <v>46290</v>
      </c>
      <c r="H629" s="3">
        <f>SUM(D:D)</f>
        <v>10447536600</v>
      </c>
      <c r="I629" s="4">
        <f>SUM(F:F)</f>
        <v>2099369250</v>
      </c>
      <c r="J629" s="4">
        <f>SUM(E:E)</f>
        <v>8348167350</v>
      </c>
      <c r="K629">
        <f>SUM(C:C)</f>
        <v>1017885</v>
      </c>
      <c r="L629">
        <f>MONTH(G:G)</f>
        <v>9</v>
      </c>
      <c r="M629">
        <f>YEAR(G:G)</f>
        <v>2026</v>
      </c>
    </row>
    <row r="630" spans="1:13" x14ac:dyDescent="0.25">
      <c r="A630" s="1" t="s">
        <v>13</v>
      </c>
      <c r="B630" s="1" t="s">
        <v>8</v>
      </c>
      <c r="C630">
        <v>776</v>
      </c>
      <c r="D630">
        <v>2328000</v>
      </c>
      <c r="E630">
        <v>1396800</v>
      </c>
      <c r="F630">
        <v>931200</v>
      </c>
      <c r="G630" s="2">
        <v>46271</v>
      </c>
      <c r="H630" s="3">
        <f>SUM(D:D)</f>
        <v>10447536600</v>
      </c>
      <c r="I630" s="4">
        <f>SUM(F:F)</f>
        <v>2099369250</v>
      </c>
      <c r="J630" s="4">
        <f>SUM(E:E)</f>
        <v>8348167350</v>
      </c>
      <c r="K630">
        <f>SUM(C:C)</f>
        <v>1017885</v>
      </c>
      <c r="L630">
        <f>MONTH(G:G)</f>
        <v>9</v>
      </c>
      <c r="M630">
        <f>YEAR(G:G)</f>
        <v>2026</v>
      </c>
    </row>
    <row r="631" spans="1:13" x14ac:dyDescent="0.25">
      <c r="A631" s="1" t="s">
        <v>16</v>
      </c>
      <c r="B631" s="1" t="s">
        <v>17</v>
      </c>
      <c r="C631">
        <v>2159</v>
      </c>
      <c r="D631">
        <v>32385000</v>
      </c>
      <c r="E631">
        <v>23749000</v>
      </c>
      <c r="F631">
        <v>8636000</v>
      </c>
      <c r="G631" s="2">
        <v>46269</v>
      </c>
      <c r="H631" s="3">
        <f>SUM(D:D)</f>
        <v>10447536600</v>
      </c>
      <c r="I631" s="4">
        <f>SUM(F:F)</f>
        <v>2099369250</v>
      </c>
      <c r="J631" s="4">
        <f>SUM(E:E)</f>
        <v>8348167350</v>
      </c>
      <c r="K631">
        <f>SUM(C:C)</f>
        <v>1017885</v>
      </c>
      <c r="L631">
        <f>MONTH(G:G)</f>
        <v>9</v>
      </c>
      <c r="M631">
        <f>YEAR(G:G)</f>
        <v>2026</v>
      </c>
    </row>
    <row r="632" spans="1:13" x14ac:dyDescent="0.25">
      <c r="A632" s="1" t="s">
        <v>22</v>
      </c>
      <c r="B632" s="1" t="s">
        <v>19</v>
      </c>
      <c r="C632">
        <v>2433</v>
      </c>
      <c r="D632">
        <v>109485000</v>
      </c>
      <c r="E632">
        <v>92454000</v>
      </c>
      <c r="F632">
        <v>17031000</v>
      </c>
      <c r="G632" s="2">
        <v>46285</v>
      </c>
      <c r="H632" s="3">
        <f>SUM(D:D)</f>
        <v>10447536600</v>
      </c>
      <c r="I632" s="4">
        <f>SUM(F:F)</f>
        <v>2099369250</v>
      </c>
      <c r="J632" s="4">
        <f>SUM(E:E)</f>
        <v>8348167350</v>
      </c>
      <c r="K632">
        <f>SUM(C:C)</f>
        <v>1017885</v>
      </c>
      <c r="L632">
        <f>MONTH(G:G)</f>
        <v>9</v>
      </c>
      <c r="M632">
        <f>YEAR(G:G)</f>
        <v>2026</v>
      </c>
    </row>
    <row r="633" spans="1:13" x14ac:dyDescent="0.25">
      <c r="A633" s="1" t="s">
        <v>11</v>
      </c>
      <c r="B633" s="1" t="s">
        <v>10</v>
      </c>
      <c r="C633">
        <v>2654</v>
      </c>
      <c r="D633">
        <v>9289000</v>
      </c>
      <c r="E633">
        <v>6900400</v>
      </c>
      <c r="F633">
        <v>2388600</v>
      </c>
      <c r="G633" s="2">
        <v>46280</v>
      </c>
      <c r="H633" s="3">
        <f>SUM(D:D)</f>
        <v>10447536600</v>
      </c>
      <c r="I633" s="4">
        <f>SUM(F:F)</f>
        <v>2099369250</v>
      </c>
      <c r="J633" s="4">
        <f>SUM(E:E)</f>
        <v>8348167350</v>
      </c>
      <c r="K633">
        <f>SUM(C:C)</f>
        <v>1017885</v>
      </c>
      <c r="L633">
        <f>MONTH(G:G)</f>
        <v>9</v>
      </c>
      <c r="M633">
        <f>YEAR(G:G)</f>
        <v>2026</v>
      </c>
    </row>
    <row r="634" spans="1:13" x14ac:dyDescent="0.25">
      <c r="A634" s="1" t="s">
        <v>13</v>
      </c>
      <c r="B634" s="1" t="s">
        <v>12</v>
      </c>
      <c r="C634">
        <v>2179</v>
      </c>
      <c r="D634">
        <v>2614800</v>
      </c>
      <c r="E634">
        <v>1852150</v>
      </c>
      <c r="F634">
        <v>762650</v>
      </c>
      <c r="G634" s="2">
        <v>46274</v>
      </c>
      <c r="H634" s="3">
        <f>SUM(D:D)</f>
        <v>10447536600</v>
      </c>
      <c r="I634" s="4">
        <f>SUM(F:F)</f>
        <v>2099369250</v>
      </c>
      <c r="J634" s="4">
        <f>SUM(E:E)</f>
        <v>8348167350</v>
      </c>
      <c r="K634">
        <f>SUM(C:C)</f>
        <v>1017885</v>
      </c>
      <c r="L634">
        <f>MONTH(G:G)</f>
        <v>9</v>
      </c>
      <c r="M634">
        <f>YEAR(G:G)</f>
        <v>2026</v>
      </c>
    </row>
    <row r="635" spans="1:13" x14ac:dyDescent="0.25">
      <c r="A635" s="1" t="s">
        <v>22</v>
      </c>
      <c r="B635" s="1" t="s">
        <v>14</v>
      </c>
      <c r="C635">
        <v>2564</v>
      </c>
      <c r="D635">
        <v>3076800</v>
      </c>
      <c r="E635">
        <v>2051200</v>
      </c>
      <c r="F635">
        <v>1025600</v>
      </c>
      <c r="G635" s="2">
        <v>46273</v>
      </c>
      <c r="H635" s="3">
        <f>SUM(D:D)</f>
        <v>10447536600</v>
      </c>
      <c r="I635" s="4">
        <f>SUM(F:F)</f>
        <v>2099369250</v>
      </c>
      <c r="J635" s="4">
        <f>SUM(E:E)</f>
        <v>8348167350</v>
      </c>
      <c r="K635">
        <f>SUM(C:C)</f>
        <v>1017885</v>
      </c>
      <c r="L635">
        <f>MONTH(G:G)</f>
        <v>9</v>
      </c>
      <c r="M635">
        <f>YEAR(G:G)</f>
        <v>2026</v>
      </c>
    </row>
    <row r="636" spans="1:13" x14ac:dyDescent="0.25">
      <c r="A636" s="1" t="s">
        <v>7</v>
      </c>
      <c r="B636" s="1" t="s">
        <v>17</v>
      </c>
      <c r="C636">
        <v>967</v>
      </c>
      <c r="D636">
        <v>14505000</v>
      </c>
      <c r="E636">
        <v>10637000</v>
      </c>
      <c r="F636">
        <v>3868000</v>
      </c>
      <c r="G636" s="2">
        <v>46286</v>
      </c>
      <c r="H636" s="3">
        <f>SUM(D:D)</f>
        <v>10447536600</v>
      </c>
      <c r="I636" s="4">
        <f>SUM(F:F)</f>
        <v>2099369250</v>
      </c>
      <c r="J636" s="4">
        <f>SUM(E:E)</f>
        <v>8348167350</v>
      </c>
      <c r="K636">
        <f>SUM(C:C)</f>
        <v>1017885</v>
      </c>
      <c r="L636">
        <f>MONTH(G:G)</f>
        <v>9</v>
      </c>
      <c r="M636">
        <f>YEAR(G:G)</f>
        <v>2026</v>
      </c>
    </row>
    <row r="637" spans="1:13" x14ac:dyDescent="0.25">
      <c r="A637" s="1" t="s">
        <v>13</v>
      </c>
      <c r="B637" s="1" t="s">
        <v>10</v>
      </c>
      <c r="C637">
        <v>640</v>
      </c>
      <c r="D637">
        <v>2240000</v>
      </c>
      <c r="E637">
        <v>1664000</v>
      </c>
      <c r="F637">
        <v>576000</v>
      </c>
      <c r="G637" s="2">
        <v>46283</v>
      </c>
      <c r="H637" s="3">
        <f>SUM(D:D)</f>
        <v>10447536600</v>
      </c>
      <c r="I637" s="4">
        <f>SUM(F:F)</f>
        <v>2099369250</v>
      </c>
      <c r="J637" s="4">
        <f>SUM(E:E)</f>
        <v>8348167350</v>
      </c>
      <c r="K637">
        <f>SUM(C:C)</f>
        <v>1017885</v>
      </c>
      <c r="L637">
        <f>MONTH(G:G)</f>
        <v>9</v>
      </c>
      <c r="M637">
        <f>YEAR(G:G)</f>
        <v>2026</v>
      </c>
    </row>
    <row r="638" spans="1:13" x14ac:dyDescent="0.25">
      <c r="A638" s="1" t="s">
        <v>15</v>
      </c>
      <c r="B638" s="1" t="s">
        <v>10</v>
      </c>
      <c r="C638">
        <v>323</v>
      </c>
      <c r="D638">
        <v>1130500</v>
      </c>
      <c r="E638">
        <v>839800</v>
      </c>
      <c r="F638">
        <v>290700</v>
      </c>
      <c r="G638" s="2">
        <v>46276</v>
      </c>
      <c r="H638" s="3">
        <f>SUM(D:D)</f>
        <v>10447536600</v>
      </c>
      <c r="I638" s="4">
        <f>SUM(F:F)</f>
        <v>2099369250</v>
      </c>
      <c r="J638" s="4">
        <f>SUM(E:E)</f>
        <v>8348167350</v>
      </c>
      <c r="K638">
        <f>SUM(C:C)</f>
        <v>1017885</v>
      </c>
      <c r="L638">
        <f>MONTH(G:G)</f>
        <v>9</v>
      </c>
      <c r="M638">
        <f>YEAR(G:G)</f>
        <v>2026</v>
      </c>
    </row>
    <row r="639" spans="1:13" x14ac:dyDescent="0.25">
      <c r="A639" s="1" t="s">
        <v>22</v>
      </c>
      <c r="B639" s="1" t="s">
        <v>19</v>
      </c>
      <c r="C639">
        <v>952</v>
      </c>
      <c r="D639">
        <v>42840000</v>
      </c>
      <c r="E639">
        <v>36176000</v>
      </c>
      <c r="F639">
        <v>6664000</v>
      </c>
      <c r="G639" s="2">
        <v>46289</v>
      </c>
      <c r="H639" s="3">
        <f>SUM(D:D)</f>
        <v>10447536600</v>
      </c>
      <c r="I639" s="4">
        <f>SUM(F:F)</f>
        <v>2099369250</v>
      </c>
      <c r="J639" s="4">
        <f>SUM(E:E)</f>
        <v>8348167350</v>
      </c>
      <c r="K639">
        <f>SUM(C:C)</f>
        <v>1017885</v>
      </c>
      <c r="L639">
        <f>MONTH(G:G)</f>
        <v>9</v>
      </c>
      <c r="M639">
        <f>YEAR(G:G)</f>
        <v>2026</v>
      </c>
    </row>
    <row r="640" spans="1:13" x14ac:dyDescent="0.25">
      <c r="A640" s="1" t="s">
        <v>22</v>
      </c>
      <c r="B640" s="1" t="s">
        <v>8</v>
      </c>
      <c r="C640">
        <v>1696</v>
      </c>
      <c r="D640">
        <v>5088000</v>
      </c>
      <c r="E640">
        <v>3052800</v>
      </c>
      <c r="F640">
        <v>2035200</v>
      </c>
      <c r="G640" s="2">
        <v>46276</v>
      </c>
      <c r="H640" s="3">
        <f>SUM(D:D)</f>
        <v>10447536600</v>
      </c>
      <c r="I640" s="4">
        <f>SUM(F:F)</f>
        <v>2099369250</v>
      </c>
      <c r="J640" s="4">
        <f>SUM(E:E)</f>
        <v>8348167350</v>
      </c>
      <c r="K640">
        <f>SUM(C:C)</f>
        <v>1017885</v>
      </c>
      <c r="L640">
        <f>MONTH(G:G)</f>
        <v>9</v>
      </c>
      <c r="M640">
        <f>YEAR(G:G)</f>
        <v>2026</v>
      </c>
    </row>
    <row r="641" spans="1:13" x14ac:dyDescent="0.25">
      <c r="A641" s="1" t="s">
        <v>18</v>
      </c>
      <c r="B641" s="1" t="s">
        <v>17</v>
      </c>
      <c r="C641">
        <v>2610</v>
      </c>
      <c r="D641">
        <v>39150000</v>
      </c>
      <c r="E641">
        <v>28710000</v>
      </c>
      <c r="F641">
        <v>10440000</v>
      </c>
      <c r="G641" s="2">
        <v>46275</v>
      </c>
      <c r="H641" s="3">
        <f>SUM(D:D)</f>
        <v>10447536600</v>
      </c>
      <c r="I641" s="4">
        <f>SUM(F:F)</f>
        <v>2099369250</v>
      </c>
      <c r="J641" s="4">
        <f>SUM(E:E)</f>
        <v>8348167350</v>
      </c>
      <c r="K641">
        <f>SUM(C:C)</f>
        <v>1017885</v>
      </c>
      <c r="L641">
        <f>MONTH(G:G)</f>
        <v>9</v>
      </c>
      <c r="M641">
        <f>YEAR(G:G)</f>
        <v>2026</v>
      </c>
    </row>
    <row r="642" spans="1:13" x14ac:dyDescent="0.25">
      <c r="A642" s="1" t="s">
        <v>18</v>
      </c>
      <c r="B642" s="1" t="s">
        <v>17</v>
      </c>
      <c r="C642">
        <v>1409</v>
      </c>
      <c r="D642">
        <v>21135000</v>
      </c>
      <c r="E642">
        <v>15499000</v>
      </c>
      <c r="F642">
        <v>5636000</v>
      </c>
      <c r="G642" s="2">
        <v>46292</v>
      </c>
      <c r="H642" s="3">
        <f>SUM(D:D)</f>
        <v>10447536600</v>
      </c>
      <c r="I642" s="4">
        <f>SUM(F:F)</f>
        <v>2099369250</v>
      </c>
      <c r="J642" s="4">
        <f>SUM(E:E)</f>
        <v>8348167350</v>
      </c>
      <c r="K642">
        <f>SUM(C:C)</f>
        <v>1017885</v>
      </c>
      <c r="L642">
        <f>MONTH(G:G)</f>
        <v>9</v>
      </c>
      <c r="M642">
        <f>YEAR(G:G)</f>
        <v>2026</v>
      </c>
    </row>
    <row r="643" spans="1:13" x14ac:dyDescent="0.25">
      <c r="A643" s="1" t="s">
        <v>11</v>
      </c>
      <c r="B643" s="1" t="s">
        <v>17</v>
      </c>
      <c r="C643">
        <v>1369</v>
      </c>
      <c r="D643">
        <v>20535000</v>
      </c>
      <c r="E643">
        <v>15059000</v>
      </c>
      <c r="F643">
        <v>5476000</v>
      </c>
      <c r="G643" s="2">
        <v>46316</v>
      </c>
      <c r="H643" s="3">
        <f>SUM(D:D)</f>
        <v>10447536600</v>
      </c>
      <c r="I643" s="4">
        <f>SUM(F:F)</f>
        <v>2099369250</v>
      </c>
      <c r="J643" s="4">
        <f>SUM(E:E)</f>
        <v>8348167350</v>
      </c>
      <c r="K643">
        <f>SUM(C:C)</f>
        <v>1017885</v>
      </c>
      <c r="L643">
        <f>MONTH(G:G)</f>
        <v>10</v>
      </c>
      <c r="M643">
        <f>YEAR(G:G)</f>
        <v>2026</v>
      </c>
    </row>
    <row r="644" spans="1:13" x14ac:dyDescent="0.25">
      <c r="A644" s="1" t="s">
        <v>13</v>
      </c>
      <c r="B644" s="1" t="s">
        <v>19</v>
      </c>
      <c r="C644">
        <v>236</v>
      </c>
      <c r="D644">
        <v>10620000</v>
      </c>
      <c r="E644">
        <v>8968000</v>
      </c>
      <c r="F644">
        <v>1652000</v>
      </c>
      <c r="G644" s="2">
        <v>46301</v>
      </c>
      <c r="H644" s="3">
        <f>SUM(D:D)</f>
        <v>10447536600</v>
      </c>
      <c r="I644" s="4">
        <f>SUM(F:F)</f>
        <v>2099369250</v>
      </c>
      <c r="J644" s="4">
        <f>SUM(E:E)</f>
        <v>8348167350</v>
      </c>
      <c r="K644">
        <f>SUM(C:C)</f>
        <v>1017885</v>
      </c>
      <c r="L644">
        <f>MONTH(G:G)</f>
        <v>10</v>
      </c>
      <c r="M644">
        <f>YEAR(G:G)</f>
        <v>2026</v>
      </c>
    </row>
    <row r="645" spans="1:13" x14ac:dyDescent="0.25">
      <c r="A645" s="1" t="s">
        <v>7</v>
      </c>
      <c r="B645" s="1" t="s">
        <v>8</v>
      </c>
      <c r="C645">
        <v>1112</v>
      </c>
      <c r="D645">
        <v>3336000</v>
      </c>
      <c r="E645">
        <v>2001600</v>
      </c>
      <c r="F645">
        <v>1334400</v>
      </c>
      <c r="G645" s="2">
        <v>46318</v>
      </c>
      <c r="H645" s="3">
        <f>SUM(D:D)</f>
        <v>10447536600</v>
      </c>
      <c r="I645" s="4">
        <f>SUM(F:F)</f>
        <v>2099369250</v>
      </c>
      <c r="J645" s="4">
        <f>SUM(E:E)</f>
        <v>8348167350</v>
      </c>
      <c r="K645">
        <f>SUM(C:C)</f>
        <v>1017885</v>
      </c>
      <c r="L645">
        <f>MONTH(G:G)</f>
        <v>10</v>
      </c>
      <c r="M645">
        <f>YEAR(G:G)</f>
        <v>2026</v>
      </c>
    </row>
    <row r="646" spans="1:13" x14ac:dyDescent="0.25">
      <c r="A646" s="1" t="s">
        <v>9</v>
      </c>
      <c r="B646" s="1" t="s">
        <v>14</v>
      </c>
      <c r="C646">
        <v>388</v>
      </c>
      <c r="D646">
        <v>465600</v>
      </c>
      <c r="E646">
        <v>310400</v>
      </c>
      <c r="F646">
        <v>155200</v>
      </c>
      <c r="G646" s="2">
        <v>46296</v>
      </c>
      <c r="H646" s="3">
        <f>SUM(D:D)</f>
        <v>10447536600</v>
      </c>
      <c r="I646" s="4">
        <f>SUM(F:F)</f>
        <v>2099369250</v>
      </c>
      <c r="J646" s="4">
        <f>SUM(E:E)</f>
        <v>8348167350</v>
      </c>
      <c r="K646">
        <f>SUM(C:C)</f>
        <v>1017885</v>
      </c>
      <c r="L646">
        <f>MONTH(G:G)</f>
        <v>10</v>
      </c>
      <c r="M646">
        <f>YEAR(G:G)</f>
        <v>2026</v>
      </c>
    </row>
    <row r="647" spans="1:13" x14ac:dyDescent="0.25">
      <c r="A647" s="1" t="s">
        <v>11</v>
      </c>
      <c r="B647" s="1" t="s">
        <v>10</v>
      </c>
      <c r="C647">
        <v>1558</v>
      </c>
      <c r="D647">
        <v>5453000</v>
      </c>
      <c r="E647">
        <v>4050800</v>
      </c>
      <c r="F647">
        <v>1402200</v>
      </c>
      <c r="G647" s="2">
        <v>46306</v>
      </c>
      <c r="H647" s="3">
        <f>SUM(D:D)</f>
        <v>10447536600</v>
      </c>
      <c r="I647" s="4">
        <f>SUM(F:F)</f>
        <v>2099369250</v>
      </c>
      <c r="J647" s="4">
        <f>SUM(E:E)</f>
        <v>8348167350</v>
      </c>
      <c r="K647">
        <f>SUM(C:C)</f>
        <v>1017885</v>
      </c>
      <c r="L647">
        <f>MONTH(G:G)</f>
        <v>10</v>
      </c>
      <c r="M647">
        <f>YEAR(G:G)</f>
        <v>2026</v>
      </c>
    </row>
    <row r="648" spans="1:13" x14ac:dyDescent="0.25">
      <c r="A648" s="1" t="s">
        <v>11</v>
      </c>
      <c r="B648" s="1" t="s">
        <v>14</v>
      </c>
      <c r="C648">
        <v>760</v>
      </c>
      <c r="D648">
        <v>912000</v>
      </c>
      <c r="E648">
        <v>608000</v>
      </c>
      <c r="F648">
        <v>304000</v>
      </c>
      <c r="G648" s="2">
        <v>46299</v>
      </c>
      <c r="H648" s="3">
        <f>SUM(D:D)</f>
        <v>10447536600</v>
      </c>
      <c r="I648" s="4">
        <f>SUM(F:F)</f>
        <v>2099369250</v>
      </c>
      <c r="J648" s="4">
        <f>SUM(E:E)</f>
        <v>8348167350</v>
      </c>
      <c r="K648">
        <f>SUM(C:C)</f>
        <v>1017885</v>
      </c>
      <c r="L648">
        <f>MONTH(G:G)</f>
        <v>10</v>
      </c>
      <c r="M648">
        <f>YEAR(G:G)</f>
        <v>2026</v>
      </c>
    </row>
    <row r="649" spans="1:13" x14ac:dyDescent="0.25">
      <c r="A649" s="1" t="s">
        <v>22</v>
      </c>
      <c r="B649" s="1" t="s">
        <v>17</v>
      </c>
      <c r="C649">
        <v>2083</v>
      </c>
      <c r="D649">
        <v>31245000</v>
      </c>
      <c r="E649">
        <v>22913000</v>
      </c>
      <c r="F649">
        <v>8332000</v>
      </c>
      <c r="G649" s="2">
        <v>46297</v>
      </c>
      <c r="H649" s="3">
        <f>SUM(D:D)</f>
        <v>10447536600</v>
      </c>
      <c r="I649" s="4">
        <f>SUM(F:F)</f>
        <v>2099369250</v>
      </c>
      <c r="J649" s="4">
        <f>SUM(E:E)</f>
        <v>8348167350</v>
      </c>
      <c r="K649">
        <f>SUM(C:C)</f>
        <v>1017885</v>
      </c>
      <c r="L649">
        <f>MONTH(G:G)</f>
        <v>10</v>
      </c>
      <c r="M649">
        <f>YEAR(G:G)</f>
        <v>2026</v>
      </c>
    </row>
    <row r="650" spans="1:13" x14ac:dyDescent="0.25">
      <c r="A650" s="1" t="s">
        <v>21</v>
      </c>
      <c r="B650" s="1" t="s">
        <v>14</v>
      </c>
      <c r="C650">
        <v>1513</v>
      </c>
      <c r="D650">
        <v>1815600</v>
      </c>
      <c r="E650">
        <v>1210400</v>
      </c>
      <c r="F650">
        <v>605200</v>
      </c>
      <c r="G650" s="2">
        <v>46305</v>
      </c>
      <c r="H650" s="3">
        <f>SUM(D:D)</f>
        <v>10447536600</v>
      </c>
      <c r="I650" s="4">
        <f>SUM(F:F)</f>
        <v>2099369250</v>
      </c>
      <c r="J650" s="4">
        <f>SUM(E:E)</f>
        <v>8348167350</v>
      </c>
      <c r="K650">
        <f>SUM(C:C)</f>
        <v>1017885</v>
      </c>
      <c r="L650">
        <f>MONTH(G:G)</f>
        <v>10</v>
      </c>
      <c r="M650">
        <f>YEAR(G:G)</f>
        <v>2026</v>
      </c>
    </row>
    <row r="651" spans="1:13" x14ac:dyDescent="0.25">
      <c r="A651" s="1" t="s">
        <v>20</v>
      </c>
      <c r="B651" s="1" t="s">
        <v>10</v>
      </c>
      <c r="C651">
        <v>1439</v>
      </c>
      <c r="D651">
        <v>5036500</v>
      </c>
      <c r="E651">
        <v>3741400</v>
      </c>
      <c r="F651">
        <v>1295100</v>
      </c>
      <c r="G651" s="2">
        <v>46308</v>
      </c>
      <c r="H651" s="3">
        <f>SUM(D:D)</f>
        <v>10447536600</v>
      </c>
      <c r="I651" s="4">
        <f>SUM(F:F)</f>
        <v>2099369250</v>
      </c>
      <c r="J651" s="4">
        <f>SUM(E:E)</f>
        <v>8348167350</v>
      </c>
      <c r="K651">
        <f>SUM(C:C)</f>
        <v>1017885</v>
      </c>
      <c r="L651">
        <f>MONTH(G:G)</f>
        <v>10</v>
      </c>
      <c r="M651">
        <f>YEAR(G:G)</f>
        <v>2026</v>
      </c>
    </row>
    <row r="652" spans="1:13" x14ac:dyDescent="0.25">
      <c r="A652" s="1" t="s">
        <v>16</v>
      </c>
      <c r="B652" s="1" t="s">
        <v>10</v>
      </c>
      <c r="C652">
        <v>209</v>
      </c>
      <c r="D652">
        <v>731500</v>
      </c>
      <c r="E652">
        <v>543400</v>
      </c>
      <c r="F652">
        <v>188100</v>
      </c>
      <c r="G652" s="2">
        <v>46304</v>
      </c>
      <c r="H652" s="3">
        <f>SUM(D:D)</f>
        <v>10447536600</v>
      </c>
      <c r="I652" s="4">
        <f>SUM(F:F)</f>
        <v>2099369250</v>
      </c>
      <c r="J652" s="4">
        <f>SUM(E:E)</f>
        <v>8348167350</v>
      </c>
      <c r="K652">
        <f>SUM(C:C)</f>
        <v>1017885</v>
      </c>
      <c r="L652">
        <f>MONTH(G:G)</f>
        <v>10</v>
      </c>
      <c r="M652">
        <f>YEAR(G:G)</f>
        <v>2026</v>
      </c>
    </row>
    <row r="653" spans="1:13" x14ac:dyDescent="0.25">
      <c r="A653" s="1" t="s">
        <v>16</v>
      </c>
      <c r="B653" s="1" t="s">
        <v>10</v>
      </c>
      <c r="C653">
        <v>1249</v>
      </c>
      <c r="D653">
        <v>4371500</v>
      </c>
      <c r="E653">
        <v>3247400</v>
      </c>
      <c r="F653">
        <v>1124100</v>
      </c>
      <c r="G653" s="2">
        <v>46322</v>
      </c>
      <c r="H653" s="3">
        <f>SUM(D:D)</f>
        <v>10447536600</v>
      </c>
      <c r="I653" s="4">
        <f>SUM(F:F)</f>
        <v>2099369250</v>
      </c>
      <c r="J653" s="4">
        <f>SUM(E:E)</f>
        <v>8348167350</v>
      </c>
      <c r="K653">
        <f>SUM(C:C)</f>
        <v>1017885</v>
      </c>
      <c r="L653">
        <f>MONTH(G:G)</f>
        <v>10</v>
      </c>
      <c r="M653">
        <f>YEAR(G:G)</f>
        <v>2026</v>
      </c>
    </row>
    <row r="654" spans="1:13" x14ac:dyDescent="0.25">
      <c r="A654" s="1" t="s">
        <v>18</v>
      </c>
      <c r="B654" s="1" t="s">
        <v>17</v>
      </c>
      <c r="C654">
        <v>875</v>
      </c>
      <c r="D654">
        <v>13125000</v>
      </c>
      <c r="E654">
        <v>9625000</v>
      </c>
      <c r="F654">
        <v>3500000</v>
      </c>
      <c r="G654" s="2">
        <v>46302</v>
      </c>
      <c r="H654" s="3">
        <f>SUM(D:D)</f>
        <v>10447536600</v>
      </c>
      <c r="I654" s="4">
        <f>SUM(F:F)</f>
        <v>2099369250</v>
      </c>
      <c r="J654" s="4">
        <f>SUM(E:E)</f>
        <v>8348167350</v>
      </c>
      <c r="K654">
        <f>SUM(C:C)</f>
        <v>1017885</v>
      </c>
      <c r="L654">
        <f>MONTH(G:G)</f>
        <v>10</v>
      </c>
      <c r="M654">
        <f>YEAR(G:G)</f>
        <v>2026</v>
      </c>
    </row>
    <row r="655" spans="1:13" x14ac:dyDescent="0.25">
      <c r="A655" s="1" t="s">
        <v>21</v>
      </c>
      <c r="B655" s="1" t="s">
        <v>10</v>
      </c>
      <c r="C655">
        <v>787</v>
      </c>
      <c r="D655">
        <v>2754500</v>
      </c>
      <c r="E655">
        <v>2046200</v>
      </c>
      <c r="F655">
        <v>708300</v>
      </c>
      <c r="G655" s="2">
        <v>46325</v>
      </c>
      <c r="H655" s="3">
        <f>SUM(D:D)</f>
        <v>10447536600</v>
      </c>
      <c r="I655" s="4">
        <f>SUM(F:F)</f>
        <v>2099369250</v>
      </c>
      <c r="J655" s="4">
        <f>SUM(E:E)</f>
        <v>8348167350</v>
      </c>
      <c r="K655">
        <f>SUM(C:C)</f>
        <v>1017885</v>
      </c>
      <c r="L655">
        <f>MONTH(G:G)</f>
        <v>10</v>
      </c>
      <c r="M655">
        <f>YEAR(G:G)</f>
        <v>2026</v>
      </c>
    </row>
    <row r="656" spans="1:13" x14ac:dyDescent="0.25">
      <c r="A656" s="1" t="s">
        <v>16</v>
      </c>
      <c r="B656" s="1" t="s">
        <v>23</v>
      </c>
      <c r="C656">
        <v>133</v>
      </c>
      <c r="D656">
        <v>665000</v>
      </c>
      <c r="E656">
        <v>558600</v>
      </c>
      <c r="F656">
        <v>106400</v>
      </c>
      <c r="G656" s="2">
        <v>46323</v>
      </c>
      <c r="H656" s="3">
        <f>SUM(D:D)</f>
        <v>10447536600</v>
      </c>
      <c r="I656" s="4">
        <f>SUM(F:F)</f>
        <v>2099369250</v>
      </c>
      <c r="J656" s="4">
        <f>SUM(E:E)</f>
        <v>8348167350</v>
      </c>
      <c r="K656">
        <f>SUM(C:C)</f>
        <v>1017885</v>
      </c>
      <c r="L656">
        <f>MONTH(G:G)</f>
        <v>10</v>
      </c>
      <c r="M656">
        <f>YEAR(G:G)</f>
        <v>2026</v>
      </c>
    </row>
    <row r="657" spans="1:13" x14ac:dyDescent="0.25">
      <c r="A657" s="1" t="s">
        <v>16</v>
      </c>
      <c r="B657" s="1" t="s">
        <v>19</v>
      </c>
      <c r="C657">
        <v>2093</v>
      </c>
      <c r="D657">
        <v>94185000</v>
      </c>
      <c r="E657">
        <v>79534000</v>
      </c>
      <c r="F657">
        <v>14651000</v>
      </c>
      <c r="G657" s="2">
        <v>46313</v>
      </c>
      <c r="H657" s="3">
        <f>SUM(D:D)</f>
        <v>10447536600</v>
      </c>
      <c r="I657" s="4">
        <f>SUM(F:F)</f>
        <v>2099369250</v>
      </c>
      <c r="J657" s="4">
        <f>SUM(E:E)</f>
        <v>8348167350</v>
      </c>
      <c r="K657">
        <f>SUM(C:C)</f>
        <v>1017885</v>
      </c>
      <c r="L657">
        <f>MONTH(G:G)</f>
        <v>10</v>
      </c>
      <c r="M657">
        <f>YEAR(G:G)</f>
        <v>2026</v>
      </c>
    </row>
    <row r="658" spans="1:13" x14ac:dyDescent="0.25">
      <c r="A658" s="1" t="s">
        <v>21</v>
      </c>
      <c r="B658" s="1" t="s">
        <v>12</v>
      </c>
      <c r="C658">
        <v>2044</v>
      </c>
      <c r="D658">
        <v>2452800</v>
      </c>
      <c r="E658">
        <v>1737400</v>
      </c>
      <c r="F658">
        <v>715400</v>
      </c>
      <c r="G658" s="2">
        <v>46325</v>
      </c>
      <c r="H658" s="3">
        <f>SUM(D:D)</f>
        <v>10447536600</v>
      </c>
      <c r="I658" s="4">
        <f>SUM(F:F)</f>
        <v>2099369250</v>
      </c>
      <c r="J658" s="4">
        <f>SUM(E:E)</f>
        <v>8348167350</v>
      </c>
      <c r="K658">
        <f>SUM(C:C)</f>
        <v>1017885</v>
      </c>
      <c r="L658">
        <f>MONTH(G:G)</f>
        <v>10</v>
      </c>
      <c r="M658">
        <f>YEAR(G:G)</f>
        <v>2026</v>
      </c>
    </row>
    <row r="659" spans="1:13" x14ac:dyDescent="0.25">
      <c r="A659" s="1" t="s">
        <v>16</v>
      </c>
      <c r="B659" s="1" t="s">
        <v>10</v>
      </c>
      <c r="C659">
        <v>508</v>
      </c>
      <c r="D659">
        <v>1778000</v>
      </c>
      <c r="E659">
        <v>1320800</v>
      </c>
      <c r="F659">
        <v>457200</v>
      </c>
      <c r="G659" s="2">
        <v>46306</v>
      </c>
      <c r="H659" s="3">
        <f>SUM(D:D)</f>
        <v>10447536600</v>
      </c>
      <c r="I659" s="4">
        <f>SUM(F:F)</f>
        <v>2099369250</v>
      </c>
      <c r="J659" s="4">
        <f>SUM(E:E)</f>
        <v>8348167350</v>
      </c>
      <c r="K659">
        <f>SUM(C:C)</f>
        <v>1017885</v>
      </c>
      <c r="L659">
        <f>MONTH(G:G)</f>
        <v>10</v>
      </c>
      <c r="M659">
        <f>YEAR(G:G)</f>
        <v>2026</v>
      </c>
    </row>
    <row r="660" spans="1:13" x14ac:dyDescent="0.25">
      <c r="A660" s="1" t="s">
        <v>7</v>
      </c>
      <c r="B660" s="1" t="s">
        <v>8</v>
      </c>
      <c r="C660">
        <v>944</v>
      </c>
      <c r="D660">
        <v>2832000</v>
      </c>
      <c r="E660">
        <v>1699200</v>
      </c>
      <c r="F660">
        <v>1132800</v>
      </c>
      <c r="G660" s="2">
        <v>46305</v>
      </c>
      <c r="H660" s="3">
        <f>SUM(D:D)</f>
        <v>10447536600</v>
      </c>
      <c r="I660" s="4">
        <f>SUM(F:F)</f>
        <v>2099369250</v>
      </c>
      <c r="J660" s="4">
        <f>SUM(E:E)</f>
        <v>8348167350</v>
      </c>
      <c r="K660">
        <f>SUM(C:C)</f>
        <v>1017885</v>
      </c>
      <c r="L660">
        <f>MONTH(G:G)</f>
        <v>10</v>
      </c>
      <c r="M660">
        <f>YEAR(G:G)</f>
        <v>2026</v>
      </c>
    </row>
    <row r="661" spans="1:13" x14ac:dyDescent="0.25">
      <c r="A661" s="1" t="s">
        <v>22</v>
      </c>
      <c r="B661" s="1" t="s">
        <v>12</v>
      </c>
      <c r="C661">
        <v>1005</v>
      </c>
      <c r="D661">
        <v>1206000</v>
      </c>
      <c r="E661">
        <v>854250</v>
      </c>
      <c r="F661">
        <v>351750</v>
      </c>
      <c r="G661" s="2">
        <v>46311</v>
      </c>
      <c r="H661" s="3">
        <f>SUM(D:D)</f>
        <v>10447536600</v>
      </c>
      <c r="I661" s="4">
        <f>SUM(F:F)</f>
        <v>2099369250</v>
      </c>
      <c r="J661" s="4">
        <f>SUM(E:E)</f>
        <v>8348167350</v>
      </c>
      <c r="K661">
        <f>SUM(C:C)</f>
        <v>1017885</v>
      </c>
      <c r="L661">
        <f>MONTH(G:G)</f>
        <v>10</v>
      </c>
      <c r="M661">
        <f>YEAR(G:G)</f>
        <v>2026</v>
      </c>
    </row>
    <row r="662" spans="1:13" x14ac:dyDescent="0.25">
      <c r="A662" s="1" t="s">
        <v>13</v>
      </c>
      <c r="B662" s="1" t="s">
        <v>10</v>
      </c>
      <c r="C662">
        <v>424</v>
      </c>
      <c r="D662">
        <v>1484000</v>
      </c>
      <c r="E662">
        <v>1102400</v>
      </c>
      <c r="F662">
        <v>381600</v>
      </c>
      <c r="G662" s="2">
        <v>46301</v>
      </c>
      <c r="H662" s="3">
        <f>SUM(D:D)</f>
        <v>10447536600</v>
      </c>
      <c r="I662" s="4">
        <f>SUM(F:F)</f>
        <v>2099369250</v>
      </c>
      <c r="J662" s="4">
        <f>SUM(E:E)</f>
        <v>8348167350</v>
      </c>
      <c r="K662">
        <f>SUM(C:C)</f>
        <v>1017885</v>
      </c>
      <c r="L662">
        <f>MONTH(G:G)</f>
        <v>10</v>
      </c>
      <c r="M662">
        <f>YEAR(G:G)</f>
        <v>2026</v>
      </c>
    </row>
    <row r="663" spans="1:13" x14ac:dyDescent="0.25">
      <c r="A663" s="1" t="s">
        <v>11</v>
      </c>
      <c r="B663" s="1" t="s">
        <v>19</v>
      </c>
      <c r="C663">
        <v>1705</v>
      </c>
      <c r="D663">
        <v>76725000</v>
      </c>
      <c r="E663">
        <v>64790000</v>
      </c>
      <c r="F663">
        <v>11935000</v>
      </c>
      <c r="G663" s="2">
        <v>46308</v>
      </c>
      <c r="H663" s="3">
        <f>SUM(D:D)</f>
        <v>10447536600</v>
      </c>
      <c r="I663" s="4">
        <f>SUM(F:F)</f>
        <v>2099369250</v>
      </c>
      <c r="J663" s="4">
        <f>SUM(E:E)</f>
        <v>8348167350</v>
      </c>
      <c r="K663">
        <f>SUM(C:C)</f>
        <v>1017885</v>
      </c>
      <c r="L663">
        <f>MONTH(G:G)</f>
        <v>10</v>
      </c>
      <c r="M663">
        <f>YEAR(G:G)</f>
        <v>2026</v>
      </c>
    </row>
    <row r="664" spans="1:13" x14ac:dyDescent="0.25">
      <c r="A664" s="1" t="s">
        <v>21</v>
      </c>
      <c r="B664" s="1" t="s">
        <v>19</v>
      </c>
      <c r="C664">
        <v>2253</v>
      </c>
      <c r="D664">
        <v>101385000</v>
      </c>
      <c r="E664">
        <v>85614000</v>
      </c>
      <c r="F664">
        <v>15771000</v>
      </c>
      <c r="G664" s="2">
        <v>46306</v>
      </c>
      <c r="H664" s="3">
        <f>SUM(D:D)</f>
        <v>10447536600</v>
      </c>
      <c r="I664" s="4">
        <f>SUM(F:F)</f>
        <v>2099369250</v>
      </c>
      <c r="J664" s="4">
        <f>SUM(E:E)</f>
        <v>8348167350</v>
      </c>
      <c r="K664">
        <f>SUM(C:C)</f>
        <v>1017885</v>
      </c>
      <c r="L664">
        <f>MONTH(G:G)</f>
        <v>10</v>
      </c>
      <c r="M664">
        <f>YEAR(G:G)</f>
        <v>2026</v>
      </c>
    </row>
    <row r="665" spans="1:13" x14ac:dyDescent="0.25">
      <c r="A665" s="1" t="s">
        <v>21</v>
      </c>
      <c r="B665" s="1" t="s">
        <v>23</v>
      </c>
      <c r="C665">
        <v>1064</v>
      </c>
      <c r="D665">
        <v>5320000</v>
      </c>
      <c r="E665">
        <v>4468800</v>
      </c>
      <c r="F665">
        <v>851200</v>
      </c>
      <c r="G665" s="2">
        <v>46303</v>
      </c>
      <c r="H665" s="3">
        <f>SUM(D:D)</f>
        <v>10447536600</v>
      </c>
      <c r="I665" s="4">
        <f>SUM(F:F)</f>
        <v>2099369250</v>
      </c>
      <c r="J665" s="4">
        <f>SUM(E:E)</f>
        <v>8348167350</v>
      </c>
      <c r="K665">
        <f>SUM(C:C)</f>
        <v>1017885</v>
      </c>
      <c r="L665">
        <f>MONTH(G:G)</f>
        <v>10</v>
      </c>
      <c r="M665">
        <f>YEAR(G:G)</f>
        <v>2026</v>
      </c>
    </row>
    <row r="666" spans="1:13" x14ac:dyDescent="0.25">
      <c r="A666" s="1" t="s">
        <v>7</v>
      </c>
      <c r="B666" s="1" t="s">
        <v>8</v>
      </c>
      <c r="C666">
        <v>776</v>
      </c>
      <c r="D666">
        <v>2328000</v>
      </c>
      <c r="E666">
        <v>1396800</v>
      </c>
      <c r="F666">
        <v>931200</v>
      </c>
      <c r="G666" s="2">
        <v>46354</v>
      </c>
      <c r="H666" s="3">
        <f>SUM(D:D)</f>
        <v>10447536600</v>
      </c>
      <c r="I666" s="4">
        <f>SUM(F:F)</f>
        <v>2099369250</v>
      </c>
      <c r="J666" s="4">
        <f>SUM(E:E)</f>
        <v>8348167350</v>
      </c>
      <c r="K666">
        <f>SUM(C:C)</f>
        <v>1017885</v>
      </c>
      <c r="L666">
        <f>MONTH(G:G)</f>
        <v>11</v>
      </c>
      <c r="M666">
        <f>YEAR(G:G)</f>
        <v>2026</v>
      </c>
    </row>
    <row r="667" spans="1:13" x14ac:dyDescent="0.25">
      <c r="A667" s="1" t="s">
        <v>18</v>
      </c>
      <c r="B667" s="1" t="s">
        <v>10</v>
      </c>
      <c r="C667">
        <v>180</v>
      </c>
      <c r="D667">
        <v>630000</v>
      </c>
      <c r="E667">
        <v>468000</v>
      </c>
      <c r="F667">
        <v>162000</v>
      </c>
      <c r="G667" s="2">
        <v>46341</v>
      </c>
      <c r="H667" s="3">
        <f>SUM(D:D)</f>
        <v>10447536600</v>
      </c>
      <c r="I667" s="4">
        <f>SUM(F:F)</f>
        <v>2099369250</v>
      </c>
      <c r="J667" s="4">
        <f>SUM(E:E)</f>
        <v>8348167350</v>
      </c>
      <c r="K667">
        <f>SUM(C:C)</f>
        <v>1017885</v>
      </c>
      <c r="L667">
        <f>MONTH(G:G)</f>
        <v>11</v>
      </c>
      <c r="M667">
        <f>YEAR(G:G)</f>
        <v>2026</v>
      </c>
    </row>
    <row r="668" spans="1:13" x14ac:dyDescent="0.25">
      <c r="A668" s="1" t="s">
        <v>18</v>
      </c>
      <c r="B668" s="1" t="s">
        <v>8</v>
      </c>
      <c r="C668">
        <v>1846</v>
      </c>
      <c r="D668">
        <v>5538000</v>
      </c>
      <c r="E668">
        <v>3322800</v>
      </c>
      <c r="F668">
        <v>2215200</v>
      </c>
      <c r="G668" s="2">
        <v>46327</v>
      </c>
      <c r="H668" s="3">
        <f>SUM(D:D)</f>
        <v>10447536600</v>
      </c>
      <c r="I668" s="4">
        <f>SUM(F:F)</f>
        <v>2099369250</v>
      </c>
      <c r="J668" s="4">
        <f>SUM(E:E)</f>
        <v>8348167350</v>
      </c>
      <c r="K668">
        <f>SUM(C:C)</f>
        <v>1017885</v>
      </c>
      <c r="L668">
        <f>MONTH(G:G)</f>
        <v>11</v>
      </c>
      <c r="M668">
        <f>YEAR(G:G)</f>
        <v>2026</v>
      </c>
    </row>
    <row r="669" spans="1:13" x14ac:dyDescent="0.25">
      <c r="A669" s="1" t="s">
        <v>20</v>
      </c>
      <c r="B669" s="1" t="s">
        <v>19</v>
      </c>
      <c r="C669">
        <v>1362</v>
      </c>
      <c r="D669">
        <v>61290000</v>
      </c>
      <c r="E669">
        <v>51756000</v>
      </c>
      <c r="F669">
        <v>9534000</v>
      </c>
      <c r="G669" s="2">
        <v>46340</v>
      </c>
      <c r="H669" s="3">
        <f>SUM(D:D)</f>
        <v>10447536600</v>
      </c>
      <c r="I669" s="4">
        <f>SUM(F:F)</f>
        <v>2099369250</v>
      </c>
      <c r="J669" s="4">
        <f>SUM(E:E)</f>
        <v>8348167350</v>
      </c>
      <c r="K669">
        <f>SUM(C:C)</f>
        <v>1017885</v>
      </c>
      <c r="L669">
        <f>MONTH(G:G)</f>
        <v>11</v>
      </c>
      <c r="M669">
        <f>YEAR(G:G)</f>
        <v>2026</v>
      </c>
    </row>
    <row r="670" spans="1:13" x14ac:dyDescent="0.25">
      <c r="A670" s="1" t="s">
        <v>9</v>
      </c>
      <c r="B670" s="1" t="s">
        <v>17</v>
      </c>
      <c r="C670">
        <v>2668</v>
      </c>
      <c r="D670">
        <v>40020000</v>
      </c>
      <c r="E670">
        <v>29348000</v>
      </c>
      <c r="F670">
        <v>10672000</v>
      </c>
      <c r="G670" s="2">
        <v>46327</v>
      </c>
      <c r="H670" s="3">
        <f>SUM(D:D)</f>
        <v>10447536600</v>
      </c>
      <c r="I670" s="4">
        <f>SUM(F:F)</f>
        <v>2099369250</v>
      </c>
      <c r="J670" s="4">
        <f>SUM(E:E)</f>
        <v>8348167350</v>
      </c>
      <c r="K670">
        <f>SUM(C:C)</f>
        <v>1017885</v>
      </c>
      <c r="L670">
        <f>MONTH(G:G)</f>
        <v>11</v>
      </c>
      <c r="M670">
        <f>YEAR(G:G)</f>
        <v>2026</v>
      </c>
    </row>
    <row r="671" spans="1:13" x14ac:dyDescent="0.25">
      <c r="A671" s="1" t="s">
        <v>20</v>
      </c>
      <c r="B671" s="1" t="s">
        <v>19</v>
      </c>
      <c r="C671">
        <v>327</v>
      </c>
      <c r="D671">
        <v>14715000</v>
      </c>
      <c r="E671">
        <v>12426000</v>
      </c>
      <c r="F671">
        <v>2289000</v>
      </c>
      <c r="G671" s="2">
        <v>46328</v>
      </c>
      <c r="H671" s="3">
        <f>SUM(D:D)</f>
        <v>10447536600</v>
      </c>
      <c r="I671" s="4">
        <f>SUM(F:F)</f>
        <v>2099369250</v>
      </c>
      <c r="J671" s="4">
        <f>SUM(E:E)</f>
        <v>8348167350</v>
      </c>
      <c r="K671">
        <f>SUM(C:C)</f>
        <v>1017885</v>
      </c>
      <c r="L671">
        <f>MONTH(G:G)</f>
        <v>11</v>
      </c>
      <c r="M671">
        <f>YEAR(G:G)</f>
        <v>2026</v>
      </c>
    </row>
    <row r="672" spans="1:13" x14ac:dyDescent="0.25">
      <c r="A672" s="1" t="s">
        <v>15</v>
      </c>
      <c r="B672" s="1" t="s">
        <v>17</v>
      </c>
      <c r="C672">
        <v>983</v>
      </c>
      <c r="D672">
        <v>14745000</v>
      </c>
      <c r="E672">
        <v>10813000</v>
      </c>
      <c r="F672">
        <v>3932000</v>
      </c>
      <c r="G672" s="2">
        <v>46332</v>
      </c>
      <c r="H672" s="3">
        <f>SUM(D:D)</f>
        <v>10447536600</v>
      </c>
      <c r="I672" s="4">
        <f>SUM(F:F)</f>
        <v>2099369250</v>
      </c>
      <c r="J672" s="4">
        <f>SUM(E:E)</f>
        <v>8348167350</v>
      </c>
      <c r="K672">
        <f>SUM(C:C)</f>
        <v>1017885</v>
      </c>
      <c r="L672">
        <f>MONTH(G:G)</f>
        <v>11</v>
      </c>
      <c r="M672">
        <f>YEAR(G:G)</f>
        <v>2026</v>
      </c>
    </row>
    <row r="673" spans="1:13" x14ac:dyDescent="0.25">
      <c r="A673" s="1" t="s">
        <v>22</v>
      </c>
      <c r="B673" s="1" t="s">
        <v>19</v>
      </c>
      <c r="C673">
        <v>139</v>
      </c>
      <c r="D673">
        <v>6255000</v>
      </c>
      <c r="E673">
        <v>5282000</v>
      </c>
      <c r="F673">
        <v>973000</v>
      </c>
      <c r="G673" s="2">
        <v>46345</v>
      </c>
      <c r="H673" s="3">
        <f>SUM(D:D)</f>
        <v>10447536600</v>
      </c>
      <c r="I673" s="4">
        <f>SUM(F:F)</f>
        <v>2099369250</v>
      </c>
      <c r="J673" s="4">
        <f>SUM(E:E)</f>
        <v>8348167350</v>
      </c>
      <c r="K673">
        <f>SUM(C:C)</f>
        <v>1017885</v>
      </c>
      <c r="L673">
        <f>MONTH(G:G)</f>
        <v>11</v>
      </c>
      <c r="M673">
        <f>YEAR(G:G)</f>
        <v>2026</v>
      </c>
    </row>
    <row r="674" spans="1:13" x14ac:dyDescent="0.25">
      <c r="A674" s="1" t="s">
        <v>7</v>
      </c>
      <c r="B674" s="1" t="s">
        <v>17</v>
      </c>
      <c r="C674">
        <v>2320</v>
      </c>
      <c r="D674">
        <v>34800000</v>
      </c>
      <c r="E674">
        <v>25520000</v>
      </c>
      <c r="F674">
        <v>9280000</v>
      </c>
      <c r="G674" s="2">
        <v>46328</v>
      </c>
      <c r="H674" s="3">
        <f>SUM(D:D)</f>
        <v>10447536600</v>
      </c>
      <c r="I674" s="4">
        <f>SUM(F:F)</f>
        <v>2099369250</v>
      </c>
      <c r="J674" s="4">
        <f>SUM(E:E)</f>
        <v>8348167350</v>
      </c>
      <c r="K674">
        <f>SUM(C:C)</f>
        <v>1017885</v>
      </c>
      <c r="L674">
        <f>MONTH(G:G)</f>
        <v>11</v>
      </c>
      <c r="M674">
        <f>YEAR(G:G)</f>
        <v>2026</v>
      </c>
    </row>
    <row r="675" spans="1:13" x14ac:dyDescent="0.25">
      <c r="A675" s="1" t="s">
        <v>21</v>
      </c>
      <c r="B675" s="1" t="s">
        <v>19</v>
      </c>
      <c r="C675">
        <v>1391</v>
      </c>
      <c r="D675">
        <v>62595000</v>
      </c>
      <c r="E675">
        <v>52858000</v>
      </c>
      <c r="F675">
        <v>9737000</v>
      </c>
      <c r="G675" s="2">
        <v>46327</v>
      </c>
      <c r="H675" s="3">
        <f>SUM(D:D)</f>
        <v>10447536600</v>
      </c>
      <c r="I675" s="4">
        <f>SUM(F:F)</f>
        <v>2099369250</v>
      </c>
      <c r="J675" s="4">
        <f>SUM(E:E)</f>
        <v>8348167350</v>
      </c>
      <c r="K675">
        <f>SUM(C:C)</f>
        <v>1017885</v>
      </c>
      <c r="L675">
        <f>MONTH(G:G)</f>
        <v>11</v>
      </c>
      <c r="M675">
        <f>YEAR(G:G)</f>
        <v>2026</v>
      </c>
    </row>
    <row r="676" spans="1:13" x14ac:dyDescent="0.25">
      <c r="A676" s="1" t="s">
        <v>9</v>
      </c>
      <c r="B676" s="1" t="s">
        <v>19</v>
      </c>
      <c r="C676">
        <v>300</v>
      </c>
      <c r="D676">
        <v>13500000</v>
      </c>
      <c r="E676">
        <v>11400000</v>
      </c>
      <c r="F676">
        <v>2100000</v>
      </c>
      <c r="G676" s="2">
        <v>46329</v>
      </c>
      <c r="H676" s="3">
        <f>SUM(D:D)</f>
        <v>10447536600</v>
      </c>
      <c r="I676" s="4">
        <f>SUM(F:F)</f>
        <v>2099369250</v>
      </c>
      <c r="J676" s="4">
        <f>SUM(E:E)</f>
        <v>8348167350</v>
      </c>
      <c r="K676">
        <f>SUM(C:C)</f>
        <v>1017885</v>
      </c>
      <c r="L676">
        <f>MONTH(G:G)</f>
        <v>11</v>
      </c>
      <c r="M676">
        <f>YEAR(G:G)</f>
        <v>2026</v>
      </c>
    </row>
    <row r="677" spans="1:13" x14ac:dyDescent="0.25">
      <c r="A677" s="1" t="s">
        <v>22</v>
      </c>
      <c r="B677" s="1" t="s">
        <v>19</v>
      </c>
      <c r="C677">
        <v>2480</v>
      </c>
      <c r="D677">
        <v>111600000</v>
      </c>
      <c r="E677">
        <v>94240000</v>
      </c>
      <c r="F677">
        <v>17360000</v>
      </c>
      <c r="G677" s="2">
        <v>46335</v>
      </c>
      <c r="H677" s="3">
        <f>SUM(D:D)</f>
        <v>10447536600</v>
      </c>
      <c r="I677" s="4">
        <f>SUM(F:F)</f>
        <v>2099369250</v>
      </c>
      <c r="J677" s="4">
        <f>SUM(E:E)</f>
        <v>8348167350</v>
      </c>
      <c r="K677">
        <f>SUM(C:C)</f>
        <v>1017885</v>
      </c>
      <c r="L677">
        <f>MONTH(G:G)</f>
        <v>11</v>
      </c>
      <c r="M677">
        <f>YEAR(G:G)</f>
        <v>2026</v>
      </c>
    </row>
    <row r="678" spans="1:13" x14ac:dyDescent="0.25">
      <c r="A678" s="1" t="s">
        <v>16</v>
      </c>
      <c r="B678" s="1" t="s">
        <v>23</v>
      </c>
      <c r="C678">
        <v>71</v>
      </c>
      <c r="D678">
        <v>355000</v>
      </c>
      <c r="E678">
        <v>298200</v>
      </c>
      <c r="F678">
        <v>56800</v>
      </c>
      <c r="G678" s="2">
        <v>46335</v>
      </c>
      <c r="H678" s="3">
        <f>SUM(D:D)</f>
        <v>10447536600</v>
      </c>
      <c r="I678" s="4">
        <f>SUM(F:F)</f>
        <v>2099369250</v>
      </c>
      <c r="J678" s="4">
        <f>SUM(E:E)</f>
        <v>8348167350</v>
      </c>
      <c r="K678">
        <f>SUM(C:C)</f>
        <v>1017885</v>
      </c>
      <c r="L678">
        <f>MONTH(G:G)</f>
        <v>11</v>
      </c>
      <c r="M678">
        <f>YEAR(G:G)</f>
        <v>2026</v>
      </c>
    </row>
    <row r="679" spans="1:13" x14ac:dyDescent="0.25">
      <c r="A679" s="1" t="s">
        <v>13</v>
      </c>
      <c r="B679" s="1" t="s">
        <v>19</v>
      </c>
      <c r="C679">
        <v>799</v>
      </c>
      <c r="D679">
        <v>35955000</v>
      </c>
      <c r="E679">
        <v>30362000</v>
      </c>
      <c r="F679">
        <v>5593000</v>
      </c>
      <c r="G679" s="2">
        <v>46335</v>
      </c>
      <c r="H679" s="3">
        <f>SUM(D:D)</f>
        <v>10447536600</v>
      </c>
      <c r="I679" s="4">
        <f>SUM(F:F)</f>
        <v>2099369250</v>
      </c>
      <c r="J679" s="4">
        <f>SUM(E:E)</f>
        <v>8348167350</v>
      </c>
      <c r="K679">
        <f>SUM(C:C)</f>
        <v>1017885</v>
      </c>
      <c r="L679">
        <f>MONTH(G:G)</f>
        <v>11</v>
      </c>
      <c r="M679">
        <f>YEAR(G:G)</f>
        <v>2026</v>
      </c>
    </row>
    <row r="680" spans="1:13" x14ac:dyDescent="0.25">
      <c r="A680" s="1" t="s">
        <v>20</v>
      </c>
      <c r="B680" s="1" t="s">
        <v>23</v>
      </c>
      <c r="C680">
        <v>941</v>
      </c>
      <c r="D680">
        <v>4705000</v>
      </c>
      <c r="E680">
        <v>3952200</v>
      </c>
      <c r="F680">
        <v>752800</v>
      </c>
      <c r="G680" s="2">
        <v>46341</v>
      </c>
      <c r="H680" s="3">
        <f>SUM(D:D)</f>
        <v>10447536600</v>
      </c>
      <c r="I680" s="4">
        <f>SUM(F:F)</f>
        <v>2099369250</v>
      </c>
      <c r="J680" s="4">
        <f>SUM(E:E)</f>
        <v>8348167350</v>
      </c>
      <c r="K680">
        <f>SUM(C:C)</f>
        <v>1017885</v>
      </c>
      <c r="L680">
        <f>MONTH(G:G)</f>
        <v>11</v>
      </c>
      <c r="M680">
        <f>YEAR(G:G)</f>
        <v>2026</v>
      </c>
    </row>
    <row r="681" spans="1:13" x14ac:dyDescent="0.25">
      <c r="A681" s="1" t="s">
        <v>11</v>
      </c>
      <c r="B681" s="1" t="s">
        <v>8</v>
      </c>
      <c r="C681">
        <v>2108</v>
      </c>
      <c r="D681">
        <v>6324000</v>
      </c>
      <c r="E681">
        <v>3794400</v>
      </c>
      <c r="F681">
        <v>2529600</v>
      </c>
      <c r="G681" s="2">
        <v>46368</v>
      </c>
      <c r="H681" s="3">
        <f>SUM(D:D)</f>
        <v>10447536600</v>
      </c>
      <c r="I681" s="4">
        <f>SUM(F:F)</f>
        <v>2099369250</v>
      </c>
      <c r="J681" s="4">
        <f>SUM(E:E)</f>
        <v>8348167350</v>
      </c>
      <c r="K681">
        <f>SUM(C:C)</f>
        <v>1017885</v>
      </c>
      <c r="L681">
        <f>MONTH(G:G)</f>
        <v>12</v>
      </c>
      <c r="M681">
        <f>YEAR(G:G)</f>
        <v>2026</v>
      </c>
    </row>
    <row r="682" spans="1:13" x14ac:dyDescent="0.25">
      <c r="A682" s="1" t="s">
        <v>16</v>
      </c>
      <c r="B682" s="1" t="s">
        <v>14</v>
      </c>
      <c r="C682">
        <v>2773</v>
      </c>
      <c r="D682">
        <v>3327600</v>
      </c>
      <c r="E682">
        <v>2218400</v>
      </c>
      <c r="F682">
        <v>1109200</v>
      </c>
      <c r="G682" s="2">
        <v>46384</v>
      </c>
      <c r="H682" s="3">
        <f>SUM(D:D)</f>
        <v>10447536600</v>
      </c>
      <c r="I682" s="4">
        <f>SUM(F:F)</f>
        <v>2099369250</v>
      </c>
      <c r="J682" s="4">
        <f>SUM(E:E)</f>
        <v>8348167350</v>
      </c>
      <c r="K682">
        <f>SUM(C:C)</f>
        <v>1017885</v>
      </c>
      <c r="L682">
        <f>MONTH(G:G)</f>
        <v>12</v>
      </c>
      <c r="M682">
        <f>YEAR(G:G)</f>
        <v>2026</v>
      </c>
    </row>
    <row r="683" spans="1:13" x14ac:dyDescent="0.25">
      <c r="A683" s="1" t="s">
        <v>13</v>
      </c>
      <c r="B683" s="1" t="s">
        <v>12</v>
      </c>
      <c r="C683">
        <v>2076</v>
      </c>
      <c r="D683">
        <v>2491200</v>
      </c>
      <c r="E683">
        <v>1764600</v>
      </c>
      <c r="F683">
        <v>726600</v>
      </c>
      <c r="G683" s="2">
        <v>46380</v>
      </c>
      <c r="H683" s="3">
        <f>SUM(D:D)</f>
        <v>10447536600</v>
      </c>
      <c r="I683" s="4">
        <f>SUM(F:F)</f>
        <v>2099369250</v>
      </c>
      <c r="J683" s="4">
        <f>SUM(E:E)</f>
        <v>8348167350</v>
      </c>
      <c r="K683">
        <f>SUM(C:C)</f>
        <v>1017885</v>
      </c>
      <c r="L683">
        <f>MONTH(G:G)</f>
        <v>12</v>
      </c>
      <c r="M683">
        <f>YEAR(G:G)</f>
        <v>2026</v>
      </c>
    </row>
    <row r="684" spans="1:13" x14ac:dyDescent="0.25">
      <c r="A684" s="1" t="s">
        <v>7</v>
      </c>
      <c r="B684" s="1" t="s">
        <v>17</v>
      </c>
      <c r="C684">
        <v>2819</v>
      </c>
      <c r="D684">
        <v>42285000</v>
      </c>
      <c r="E684">
        <v>31009000</v>
      </c>
      <c r="F684">
        <v>11276000</v>
      </c>
      <c r="G684" s="2">
        <v>46364</v>
      </c>
      <c r="H684" s="3">
        <f>SUM(D:D)</f>
        <v>10447536600</v>
      </c>
      <c r="I684" s="4">
        <f>SUM(F:F)</f>
        <v>2099369250</v>
      </c>
      <c r="J684" s="4">
        <f>SUM(E:E)</f>
        <v>8348167350</v>
      </c>
      <c r="K684">
        <f>SUM(C:C)</f>
        <v>1017885</v>
      </c>
      <c r="L684">
        <f>MONTH(G:G)</f>
        <v>12</v>
      </c>
      <c r="M684">
        <f>YEAR(G:G)</f>
        <v>2026</v>
      </c>
    </row>
    <row r="685" spans="1:13" x14ac:dyDescent="0.25">
      <c r="A685" s="1" t="s">
        <v>16</v>
      </c>
      <c r="B685" s="1" t="s">
        <v>8</v>
      </c>
      <c r="C685">
        <v>2991</v>
      </c>
      <c r="D685">
        <v>8973000</v>
      </c>
      <c r="E685">
        <v>5383800</v>
      </c>
      <c r="F685">
        <v>3589200</v>
      </c>
      <c r="G685" s="2">
        <v>46375</v>
      </c>
      <c r="H685" s="3">
        <f>SUM(D:D)</f>
        <v>10447536600</v>
      </c>
      <c r="I685" s="4">
        <f>SUM(F:F)</f>
        <v>2099369250</v>
      </c>
      <c r="J685" s="4">
        <f>SUM(E:E)</f>
        <v>8348167350</v>
      </c>
      <c r="K685">
        <f>SUM(C:C)</f>
        <v>1017885</v>
      </c>
      <c r="L685">
        <f>MONTH(G:G)</f>
        <v>12</v>
      </c>
      <c r="M685">
        <f>YEAR(G:G)</f>
        <v>2026</v>
      </c>
    </row>
    <row r="686" spans="1:13" x14ac:dyDescent="0.25">
      <c r="A686" s="1" t="s">
        <v>18</v>
      </c>
      <c r="B686" s="1" t="s">
        <v>8</v>
      </c>
      <c r="C686">
        <v>754</v>
      </c>
      <c r="D686">
        <v>2262000</v>
      </c>
      <c r="E686">
        <v>1357200</v>
      </c>
      <c r="F686">
        <v>904800</v>
      </c>
      <c r="G686" s="2">
        <v>46385</v>
      </c>
      <c r="H686" s="3">
        <f>SUM(D:D)</f>
        <v>10447536600</v>
      </c>
      <c r="I686" s="4">
        <f>SUM(F:F)</f>
        <v>2099369250</v>
      </c>
      <c r="J686" s="4">
        <f>SUM(E:E)</f>
        <v>8348167350</v>
      </c>
      <c r="K686">
        <f>SUM(C:C)</f>
        <v>1017885</v>
      </c>
      <c r="L686">
        <f>MONTH(G:G)</f>
        <v>12</v>
      </c>
      <c r="M686">
        <f>YEAR(G:G)</f>
        <v>2026</v>
      </c>
    </row>
    <row r="687" spans="1:13" x14ac:dyDescent="0.25">
      <c r="A687" s="1" t="s">
        <v>22</v>
      </c>
      <c r="B687" s="1" t="s">
        <v>14</v>
      </c>
      <c r="C687">
        <v>1324</v>
      </c>
      <c r="D687">
        <v>1588800</v>
      </c>
      <c r="E687">
        <v>1059200</v>
      </c>
      <c r="F687">
        <v>529600</v>
      </c>
      <c r="G687" s="2">
        <v>46382</v>
      </c>
      <c r="H687" s="3">
        <f>SUM(D:D)</f>
        <v>10447536600</v>
      </c>
      <c r="I687" s="4">
        <f>SUM(F:F)</f>
        <v>2099369250</v>
      </c>
      <c r="J687" s="4">
        <f>SUM(E:E)</f>
        <v>8348167350</v>
      </c>
      <c r="K687">
        <f>SUM(C:C)</f>
        <v>1017885</v>
      </c>
      <c r="L687">
        <f>MONTH(G:G)</f>
        <v>12</v>
      </c>
      <c r="M687">
        <f>YEAR(G:G)</f>
        <v>2026</v>
      </c>
    </row>
    <row r="688" spans="1:13" x14ac:dyDescent="0.25">
      <c r="A688" s="1" t="s">
        <v>18</v>
      </c>
      <c r="B688" s="1" t="s">
        <v>12</v>
      </c>
      <c r="C688">
        <v>749</v>
      </c>
      <c r="D688">
        <v>898800</v>
      </c>
      <c r="E688">
        <v>636650</v>
      </c>
      <c r="F688">
        <v>262150</v>
      </c>
      <c r="G688" s="2">
        <v>46375</v>
      </c>
      <c r="H688" s="3">
        <f>SUM(D:D)</f>
        <v>10447536600</v>
      </c>
      <c r="I688" s="4">
        <f>SUM(F:F)</f>
        <v>2099369250</v>
      </c>
      <c r="J688" s="4">
        <f>SUM(E:E)</f>
        <v>8348167350</v>
      </c>
      <c r="K688">
        <f>SUM(C:C)</f>
        <v>1017885</v>
      </c>
      <c r="L688">
        <f>MONTH(G:G)</f>
        <v>12</v>
      </c>
      <c r="M688">
        <f>YEAR(G:G)</f>
        <v>2026</v>
      </c>
    </row>
    <row r="689" spans="1:13" x14ac:dyDescent="0.25">
      <c r="A689" s="1" t="s">
        <v>21</v>
      </c>
      <c r="B689" s="1" t="s">
        <v>19</v>
      </c>
      <c r="C689">
        <v>2460</v>
      </c>
      <c r="D689">
        <v>110700000</v>
      </c>
      <c r="E689">
        <v>93480000</v>
      </c>
      <c r="F689">
        <v>17220000</v>
      </c>
      <c r="G689" s="2">
        <v>46371</v>
      </c>
      <c r="H689" s="3">
        <f>SUM(D:D)</f>
        <v>10447536600</v>
      </c>
      <c r="I689" s="4">
        <f>SUM(F:F)</f>
        <v>2099369250</v>
      </c>
      <c r="J689" s="4">
        <f>SUM(E:E)</f>
        <v>8348167350</v>
      </c>
      <c r="K689">
        <f>SUM(C:C)</f>
        <v>1017885</v>
      </c>
      <c r="L689">
        <f>MONTH(G:G)</f>
        <v>12</v>
      </c>
      <c r="M689">
        <f>YEAR(G:G)</f>
        <v>2026</v>
      </c>
    </row>
    <row r="690" spans="1:13" x14ac:dyDescent="0.25">
      <c r="A690" s="1" t="s">
        <v>9</v>
      </c>
      <c r="B690" s="1" t="s">
        <v>10</v>
      </c>
      <c r="C690">
        <v>497</v>
      </c>
      <c r="D690">
        <v>1739500</v>
      </c>
      <c r="E690">
        <v>1292200</v>
      </c>
      <c r="F690">
        <v>447300</v>
      </c>
      <c r="G690" s="2">
        <v>46378</v>
      </c>
      <c r="H690" s="3">
        <f>SUM(D:D)</f>
        <v>10447536600</v>
      </c>
      <c r="I690" s="4">
        <f>SUM(F:F)</f>
        <v>2099369250</v>
      </c>
      <c r="J690" s="4">
        <f>SUM(E:E)</f>
        <v>8348167350</v>
      </c>
      <c r="K690">
        <f>SUM(C:C)</f>
        <v>1017885</v>
      </c>
      <c r="L690">
        <f>MONTH(G:G)</f>
        <v>12</v>
      </c>
      <c r="M690">
        <f>YEAR(G:G)</f>
        <v>2026</v>
      </c>
    </row>
    <row r="691" spans="1:13" x14ac:dyDescent="0.25">
      <c r="A691" s="1" t="s">
        <v>20</v>
      </c>
      <c r="B691" s="1" t="s">
        <v>19</v>
      </c>
      <c r="C691">
        <v>51</v>
      </c>
      <c r="D691">
        <v>2295000</v>
      </c>
      <c r="E691">
        <v>1938000</v>
      </c>
      <c r="F691">
        <v>357000</v>
      </c>
      <c r="G691" s="2">
        <v>46359</v>
      </c>
      <c r="H691" s="3">
        <f>SUM(D:D)</f>
        <v>10447536600</v>
      </c>
      <c r="I691" s="4">
        <f>SUM(F:F)</f>
        <v>2099369250</v>
      </c>
      <c r="J691" s="4">
        <f>SUM(E:E)</f>
        <v>8348167350</v>
      </c>
      <c r="K691">
        <f>SUM(C:C)</f>
        <v>1017885</v>
      </c>
      <c r="L691">
        <f>MONTH(G:G)</f>
        <v>12</v>
      </c>
      <c r="M691">
        <f>YEAR(G:G)</f>
        <v>2026</v>
      </c>
    </row>
    <row r="692" spans="1:13" x14ac:dyDescent="0.25">
      <c r="A692" s="1" t="s">
        <v>21</v>
      </c>
      <c r="B692" s="1" t="s">
        <v>19</v>
      </c>
      <c r="C692">
        <v>1975</v>
      </c>
      <c r="D692">
        <v>88875000</v>
      </c>
      <c r="E692">
        <v>75050000</v>
      </c>
      <c r="F692">
        <v>13825000</v>
      </c>
      <c r="G692" s="2">
        <v>46381</v>
      </c>
      <c r="H692" s="3">
        <f>SUM(D:D)</f>
        <v>10447536600</v>
      </c>
      <c r="I692" s="4">
        <f>SUM(F:F)</f>
        <v>2099369250</v>
      </c>
      <c r="J692" s="4">
        <f>SUM(E:E)</f>
        <v>8348167350</v>
      </c>
      <c r="K692">
        <f>SUM(C:C)</f>
        <v>1017885</v>
      </c>
      <c r="L692">
        <f>MONTH(G:G)</f>
        <v>12</v>
      </c>
      <c r="M692">
        <f>YEAR(G:G)</f>
        <v>2026</v>
      </c>
    </row>
    <row r="693" spans="1:13" x14ac:dyDescent="0.25">
      <c r="A693" s="1" t="s">
        <v>21</v>
      </c>
      <c r="B693" s="1" t="s">
        <v>10</v>
      </c>
      <c r="C693">
        <v>1157</v>
      </c>
      <c r="D693">
        <v>4049500</v>
      </c>
      <c r="E693">
        <v>3008200</v>
      </c>
      <c r="F693">
        <v>1041300</v>
      </c>
      <c r="G693" s="2">
        <v>46385</v>
      </c>
      <c r="H693" s="3">
        <f>SUM(D:D)</f>
        <v>10447536600</v>
      </c>
      <c r="I693" s="4">
        <f>SUM(F:F)</f>
        <v>2099369250</v>
      </c>
      <c r="J693" s="4">
        <f>SUM(E:E)</f>
        <v>8348167350</v>
      </c>
      <c r="K693">
        <f>SUM(C:C)</f>
        <v>1017885</v>
      </c>
      <c r="L693">
        <f>MONTH(G:G)</f>
        <v>12</v>
      </c>
      <c r="M693">
        <f>YEAR(G:G)</f>
        <v>2026</v>
      </c>
    </row>
    <row r="694" spans="1:13" x14ac:dyDescent="0.25">
      <c r="A694" s="1" t="s">
        <v>13</v>
      </c>
      <c r="B694" s="1" t="s">
        <v>10</v>
      </c>
      <c r="C694">
        <v>1316</v>
      </c>
      <c r="D694">
        <v>4606000</v>
      </c>
      <c r="E694">
        <v>3421600</v>
      </c>
      <c r="F694">
        <v>1184400</v>
      </c>
      <c r="G694" s="2">
        <v>46372</v>
      </c>
      <c r="H694" s="3">
        <f>SUM(D:D)</f>
        <v>10447536600</v>
      </c>
      <c r="I694" s="4">
        <f>SUM(F:F)</f>
        <v>2099369250</v>
      </c>
      <c r="J694" s="4">
        <f>SUM(E:E)</f>
        <v>8348167350</v>
      </c>
      <c r="K694">
        <f>SUM(C:C)</f>
        <v>1017885</v>
      </c>
      <c r="L694">
        <f>MONTH(G:G)</f>
        <v>12</v>
      </c>
      <c r="M694">
        <f>YEAR(G:G)</f>
        <v>2026</v>
      </c>
    </row>
    <row r="695" spans="1:13" x14ac:dyDescent="0.25">
      <c r="A695" s="1" t="s">
        <v>7</v>
      </c>
      <c r="B695" s="1" t="s">
        <v>10</v>
      </c>
      <c r="C695">
        <v>2039</v>
      </c>
      <c r="D695">
        <v>7136500</v>
      </c>
      <c r="E695">
        <v>5301400</v>
      </c>
      <c r="F695">
        <v>1835100</v>
      </c>
      <c r="G695" s="2">
        <v>46370</v>
      </c>
      <c r="H695" s="3">
        <f>SUM(D:D)</f>
        <v>10447536600</v>
      </c>
      <c r="I695" s="4">
        <f>SUM(F:F)</f>
        <v>2099369250</v>
      </c>
      <c r="J695" s="4">
        <f>SUM(E:E)</f>
        <v>8348167350</v>
      </c>
      <c r="K695">
        <f>SUM(C:C)</f>
        <v>1017885</v>
      </c>
      <c r="L695">
        <f>MONTH(G:G)</f>
        <v>12</v>
      </c>
      <c r="M695">
        <f>YEAR(G:G)</f>
        <v>2026</v>
      </c>
    </row>
    <row r="696" spans="1:13" x14ac:dyDescent="0.25">
      <c r="A696" s="1" t="s">
        <v>18</v>
      </c>
      <c r="B696" s="1" t="s">
        <v>19</v>
      </c>
      <c r="C696">
        <v>1323</v>
      </c>
      <c r="D696">
        <v>59535000</v>
      </c>
      <c r="E696">
        <v>50274000</v>
      </c>
      <c r="F696">
        <v>9261000</v>
      </c>
      <c r="G696" s="2">
        <v>46362</v>
      </c>
      <c r="H696" s="3">
        <f>SUM(D:D)</f>
        <v>10447536600</v>
      </c>
      <c r="I696" s="4">
        <f>SUM(F:F)</f>
        <v>2099369250</v>
      </c>
      <c r="J696" s="4">
        <f>SUM(E:E)</f>
        <v>8348167350</v>
      </c>
      <c r="K696">
        <f>SUM(C:C)</f>
        <v>1017885</v>
      </c>
      <c r="L696">
        <f>MONTH(G:G)</f>
        <v>12</v>
      </c>
      <c r="M696">
        <f>YEAR(G:G)</f>
        <v>2026</v>
      </c>
    </row>
    <row r="697" spans="1:13" x14ac:dyDescent="0.25">
      <c r="A697" s="1" t="s">
        <v>20</v>
      </c>
      <c r="B697" s="1" t="s">
        <v>8</v>
      </c>
      <c r="C697">
        <v>319</v>
      </c>
      <c r="D697">
        <v>957000</v>
      </c>
      <c r="E697">
        <v>574200</v>
      </c>
      <c r="F697">
        <v>382800</v>
      </c>
      <c r="G697" s="2">
        <v>46385</v>
      </c>
      <c r="H697" s="3">
        <f>SUM(D:D)</f>
        <v>10447536600</v>
      </c>
      <c r="I697" s="4">
        <f>SUM(F:F)</f>
        <v>2099369250</v>
      </c>
      <c r="J697" s="4">
        <f>SUM(E:E)</f>
        <v>8348167350</v>
      </c>
      <c r="K697">
        <f>SUM(C:C)</f>
        <v>1017885</v>
      </c>
      <c r="L697">
        <f>MONTH(G:G)</f>
        <v>12</v>
      </c>
      <c r="M697">
        <f>YEAR(G:G)</f>
        <v>2026</v>
      </c>
    </row>
    <row r="698" spans="1:13" x14ac:dyDescent="0.25">
      <c r="A698" s="1" t="s">
        <v>21</v>
      </c>
      <c r="B698" s="1" t="s">
        <v>23</v>
      </c>
      <c r="C698">
        <v>1108</v>
      </c>
      <c r="D698">
        <v>5540000</v>
      </c>
      <c r="E698">
        <v>4653600</v>
      </c>
      <c r="F698">
        <v>886400</v>
      </c>
      <c r="G698" s="2">
        <v>46372</v>
      </c>
      <c r="H698" s="3">
        <f>SUM(D:D)</f>
        <v>10447536600</v>
      </c>
      <c r="I698" s="4">
        <f>SUM(F:F)</f>
        <v>2099369250</v>
      </c>
      <c r="J698" s="4">
        <f>SUM(E:E)</f>
        <v>8348167350</v>
      </c>
      <c r="K698">
        <f>SUM(C:C)</f>
        <v>1017885</v>
      </c>
      <c r="L698">
        <f>MONTH(G:G)</f>
        <v>12</v>
      </c>
      <c r="M698">
        <f>YEAR(G:G)</f>
        <v>2026</v>
      </c>
    </row>
    <row r="699" spans="1:13" x14ac:dyDescent="0.25">
      <c r="A699" s="1" t="s">
        <v>13</v>
      </c>
      <c r="B699" s="1" t="s">
        <v>14</v>
      </c>
      <c r="C699">
        <v>247</v>
      </c>
      <c r="D699">
        <v>296400</v>
      </c>
      <c r="E699">
        <v>197600</v>
      </c>
      <c r="F699">
        <v>98800</v>
      </c>
      <c r="G699" s="2">
        <v>46381</v>
      </c>
      <c r="H699" s="3">
        <f>SUM(D:D)</f>
        <v>10447536600</v>
      </c>
      <c r="I699" s="4">
        <f>SUM(F:F)</f>
        <v>2099369250</v>
      </c>
      <c r="J699" s="4">
        <f>SUM(E:E)</f>
        <v>8348167350</v>
      </c>
      <c r="K699">
        <f>SUM(C:C)</f>
        <v>1017885</v>
      </c>
      <c r="L699">
        <f>MONTH(G:G)</f>
        <v>12</v>
      </c>
      <c r="M699">
        <f>YEAR(G:G)</f>
        <v>2026</v>
      </c>
    </row>
    <row r="700" spans="1:13" x14ac:dyDescent="0.25">
      <c r="A700" s="1" t="s">
        <v>9</v>
      </c>
      <c r="B700" s="1" t="s">
        <v>12</v>
      </c>
      <c r="C700">
        <v>1258</v>
      </c>
      <c r="D700">
        <v>1509600</v>
      </c>
      <c r="E700">
        <v>1069300</v>
      </c>
      <c r="F700">
        <v>440300</v>
      </c>
      <c r="G700" s="2">
        <v>46383</v>
      </c>
      <c r="H700" s="3">
        <f>SUM(D:D)</f>
        <v>10447536600</v>
      </c>
      <c r="I700" s="4">
        <f>SUM(F:F)</f>
        <v>2099369250</v>
      </c>
      <c r="J700" s="4">
        <f>SUM(E:E)</f>
        <v>8348167350</v>
      </c>
      <c r="K700">
        <f>SUM(C:C)</f>
        <v>1017885</v>
      </c>
      <c r="L700">
        <f>MONTH(G:G)</f>
        <v>12</v>
      </c>
      <c r="M700">
        <f>YEAR(G:G)</f>
        <v>2026</v>
      </c>
    </row>
    <row r="701" spans="1:13" x14ac:dyDescent="0.25">
      <c r="A701" s="1" t="s">
        <v>22</v>
      </c>
      <c r="B701" s="1" t="s">
        <v>14</v>
      </c>
      <c r="C701">
        <v>178</v>
      </c>
      <c r="D701">
        <v>213600</v>
      </c>
      <c r="E701">
        <v>142400</v>
      </c>
      <c r="F701">
        <v>71200</v>
      </c>
      <c r="G701" s="2">
        <v>46359</v>
      </c>
      <c r="H701" s="3">
        <f>SUM(D:D)</f>
        <v>10447536600</v>
      </c>
      <c r="I701" s="4">
        <f>SUM(F:F)</f>
        <v>2099369250</v>
      </c>
      <c r="J701" s="4">
        <f>SUM(E:E)</f>
        <v>8348167350</v>
      </c>
      <c r="K701">
        <f>SUM(C:C)</f>
        <v>1017885</v>
      </c>
      <c r="L701">
        <f>MONTH(G:G)</f>
        <v>12</v>
      </c>
      <c r="M701">
        <f>YEAR(G:G)</f>
        <v>2026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AF104-D385-4946-9319-E62DCD7AFFA8}">
  <dimension ref="A1:W43"/>
  <sheetViews>
    <sheetView showGridLines="0" showRowColHeaders="0" tabSelected="1" zoomScale="70" zoomScaleNormal="70" workbookViewId="0"/>
  </sheetViews>
  <sheetFormatPr defaultRowHeight="15" x14ac:dyDescent="0.25"/>
  <sheetData>
    <row r="1" spans="1:23" x14ac:dyDescent="0.25">
      <c r="A1" s="10"/>
      <c r="B1" s="10"/>
      <c r="C1" s="10"/>
      <c r="D1" s="10"/>
      <c r="E1" s="10"/>
      <c r="F1" s="10"/>
      <c r="G1" s="10"/>
      <c r="H1" s="10"/>
      <c r="I1" s="10"/>
      <c r="J1" s="10"/>
      <c r="K1" s="10"/>
      <c r="L1" s="10"/>
      <c r="M1" s="10"/>
      <c r="N1" s="10"/>
      <c r="O1" s="10"/>
      <c r="P1" s="10"/>
      <c r="Q1" s="10"/>
      <c r="R1" s="10"/>
      <c r="S1" s="10"/>
      <c r="T1" s="10"/>
      <c r="U1" s="10"/>
      <c r="V1" s="10"/>
      <c r="W1" s="10"/>
    </row>
    <row r="2" spans="1:23" x14ac:dyDescent="0.25">
      <c r="A2" s="10"/>
      <c r="B2" s="10"/>
      <c r="C2" s="10"/>
      <c r="D2" s="10"/>
      <c r="E2" s="10"/>
      <c r="F2" s="10"/>
      <c r="G2" s="10"/>
      <c r="H2" s="10"/>
      <c r="I2" s="10"/>
      <c r="J2" s="10"/>
      <c r="K2" s="10"/>
      <c r="L2" s="10"/>
      <c r="M2" s="10"/>
      <c r="N2" s="10"/>
      <c r="O2" s="10"/>
      <c r="P2" s="10"/>
      <c r="Q2" s="10"/>
      <c r="R2" s="10"/>
      <c r="S2" s="10"/>
      <c r="T2" s="10"/>
      <c r="U2" s="10"/>
      <c r="V2" s="10"/>
      <c r="W2" s="10"/>
    </row>
    <row r="3" spans="1:23" x14ac:dyDescent="0.25">
      <c r="A3" s="10"/>
      <c r="B3" s="10"/>
      <c r="C3" s="10"/>
      <c r="D3" s="10"/>
      <c r="E3" s="10"/>
      <c r="F3" s="10"/>
      <c r="G3" s="10"/>
      <c r="H3" s="10"/>
      <c r="I3" s="10"/>
      <c r="J3" s="10"/>
      <c r="K3" s="10"/>
      <c r="L3" s="10"/>
      <c r="M3" s="10"/>
      <c r="N3" s="10"/>
      <c r="O3" s="10"/>
      <c r="P3" s="10"/>
      <c r="Q3" s="10"/>
      <c r="R3" s="10"/>
      <c r="S3" s="10"/>
      <c r="T3" s="10"/>
      <c r="U3" s="10"/>
      <c r="V3" s="10"/>
      <c r="W3" s="10"/>
    </row>
    <row r="4" spans="1:23" x14ac:dyDescent="0.25">
      <c r="A4" s="10"/>
      <c r="B4" s="10"/>
      <c r="C4" s="10"/>
      <c r="D4" s="10"/>
      <c r="E4" s="10"/>
      <c r="F4" s="10"/>
      <c r="G4" s="10"/>
      <c r="H4" s="10"/>
      <c r="I4" s="10"/>
      <c r="J4" s="10"/>
      <c r="K4" s="10"/>
      <c r="L4" s="10"/>
      <c r="M4" s="10"/>
      <c r="N4" s="10"/>
      <c r="O4" s="10"/>
      <c r="P4" s="10"/>
      <c r="Q4" s="10"/>
      <c r="R4" s="10"/>
      <c r="S4" s="10"/>
      <c r="T4" s="10"/>
      <c r="U4" s="10"/>
      <c r="V4" s="10"/>
      <c r="W4" s="10"/>
    </row>
    <row r="5" spans="1:23" x14ac:dyDescent="0.25">
      <c r="A5" s="10"/>
      <c r="B5" s="10"/>
      <c r="C5" s="10"/>
      <c r="D5" s="10"/>
      <c r="E5" s="10"/>
      <c r="F5" s="10"/>
      <c r="G5" s="10"/>
      <c r="H5" s="10"/>
      <c r="I5" s="10"/>
      <c r="J5" s="10"/>
      <c r="K5" s="10"/>
      <c r="L5" s="10"/>
      <c r="M5" s="10"/>
      <c r="N5" s="10"/>
      <c r="O5" s="10"/>
      <c r="P5" s="10"/>
      <c r="Q5" s="10"/>
      <c r="R5" s="10"/>
      <c r="S5" s="10"/>
      <c r="T5" s="10"/>
      <c r="U5" s="10"/>
      <c r="V5" s="10"/>
      <c r="W5" s="10"/>
    </row>
    <row r="6" spans="1:23" x14ac:dyDescent="0.25">
      <c r="A6" s="10"/>
      <c r="B6" s="10"/>
      <c r="C6" s="10"/>
      <c r="D6" s="10"/>
      <c r="E6" s="10"/>
      <c r="F6" s="10"/>
      <c r="G6" s="10"/>
      <c r="H6" s="10"/>
      <c r="I6" s="10"/>
      <c r="J6" s="10"/>
      <c r="K6" s="11" t="s">
        <v>48</v>
      </c>
      <c r="L6" s="10"/>
      <c r="M6" s="10"/>
      <c r="N6" s="10"/>
      <c r="O6" s="10"/>
      <c r="P6" s="10"/>
      <c r="Q6" s="10"/>
      <c r="R6" s="10"/>
      <c r="S6" s="10"/>
      <c r="T6" s="10"/>
      <c r="U6" s="10"/>
      <c r="V6" s="10"/>
      <c r="W6" s="10"/>
    </row>
    <row r="7" spans="1:23" x14ac:dyDescent="0.25">
      <c r="A7" s="10"/>
      <c r="B7" s="10"/>
      <c r="C7" s="10"/>
      <c r="D7" s="10"/>
      <c r="E7" s="10"/>
      <c r="F7" s="10"/>
      <c r="G7" s="10"/>
      <c r="H7" s="10"/>
      <c r="I7" s="10"/>
      <c r="J7" s="10"/>
      <c r="K7" s="10"/>
      <c r="L7" s="10"/>
      <c r="M7" s="10"/>
      <c r="N7" s="10"/>
      <c r="O7" s="10"/>
      <c r="P7" s="10"/>
      <c r="Q7" s="10"/>
      <c r="R7" s="10"/>
      <c r="S7" s="10"/>
      <c r="T7" s="10"/>
      <c r="U7" s="10"/>
      <c r="V7" s="10"/>
      <c r="W7" s="10"/>
    </row>
    <row r="8" spans="1:23" x14ac:dyDescent="0.25">
      <c r="A8" s="10"/>
      <c r="B8" s="10"/>
      <c r="C8" s="10"/>
      <c r="D8" s="10"/>
      <c r="E8" s="10"/>
      <c r="F8" s="10"/>
      <c r="G8" s="10"/>
      <c r="H8" s="10"/>
      <c r="I8" s="10"/>
      <c r="J8" s="10"/>
      <c r="K8" s="10"/>
      <c r="L8" s="10"/>
      <c r="M8" s="10"/>
      <c r="N8" s="10"/>
      <c r="O8" s="10"/>
      <c r="P8" s="10"/>
      <c r="Q8" s="10"/>
      <c r="R8" s="10"/>
      <c r="S8" s="10"/>
      <c r="T8" s="10"/>
      <c r="U8" s="10"/>
      <c r="V8" s="10"/>
      <c r="W8" s="10"/>
    </row>
    <row r="9" spans="1:23" x14ac:dyDescent="0.25">
      <c r="A9" s="10"/>
      <c r="B9" s="10"/>
      <c r="C9" s="10"/>
      <c r="D9" s="10"/>
      <c r="E9" s="10"/>
      <c r="F9" s="10"/>
      <c r="G9" s="10"/>
      <c r="H9" s="10"/>
      <c r="I9" s="10"/>
      <c r="J9" s="10"/>
      <c r="K9" s="10"/>
      <c r="L9" s="10"/>
      <c r="M9" s="10"/>
      <c r="N9" s="10"/>
      <c r="O9" s="10"/>
      <c r="P9" s="10"/>
      <c r="Q9" s="10"/>
      <c r="R9" s="10"/>
      <c r="S9" s="10"/>
      <c r="T9" s="10"/>
      <c r="U9" s="10"/>
      <c r="V9" s="10"/>
      <c r="W9" s="10"/>
    </row>
    <row r="10" spans="1:23" x14ac:dyDescent="0.25">
      <c r="A10" s="10"/>
      <c r="B10" s="10"/>
      <c r="C10" s="10"/>
      <c r="D10" s="10"/>
      <c r="E10" s="10"/>
      <c r="F10" s="10"/>
      <c r="G10" s="10"/>
      <c r="H10" s="10"/>
      <c r="I10" s="10"/>
      <c r="J10" s="10"/>
      <c r="K10" s="10"/>
      <c r="L10" s="10"/>
      <c r="M10" s="10"/>
      <c r="N10" s="10"/>
      <c r="O10" s="10"/>
      <c r="P10" s="10"/>
      <c r="Q10" s="10"/>
      <c r="R10" s="10"/>
      <c r="S10" s="10"/>
      <c r="T10" s="10"/>
      <c r="U10" s="10"/>
      <c r="V10" s="10"/>
      <c r="W10" s="10"/>
    </row>
    <row r="11" spans="1:23" x14ac:dyDescent="0.25">
      <c r="A11" s="10"/>
      <c r="B11" s="10"/>
      <c r="C11" s="10"/>
      <c r="D11" s="10"/>
      <c r="E11" s="10"/>
      <c r="F11" s="10"/>
      <c r="G11" s="10"/>
      <c r="H11" s="10"/>
      <c r="I11" s="10"/>
      <c r="J11" s="10"/>
      <c r="K11" s="10"/>
      <c r="L11" s="10"/>
      <c r="M11" s="10"/>
      <c r="N11" s="10"/>
      <c r="O11" s="10"/>
      <c r="P11" s="10"/>
      <c r="Q11" s="10"/>
      <c r="R11" s="10"/>
      <c r="S11" s="10"/>
      <c r="T11" s="10"/>
      <c r="U11" s="10"/>
      <c r="V11" s="10"/>
      <c r="W11" s="10"/>
    </row>
    <row r="12" spans="1:23" x14ac:dyDescent="0.25">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25">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25">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25">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25">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25">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25">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25">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25">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25">
      <c r="A21" s="10"/>
      <c r="B21" s="10"/>
      <c r="C21" s="10"/>
      <c r="D21" s="10"/>
      <c r="E21" s="10"/>
      <c r="F21" s="10"/>
      <c r="G21" s="10"/>
      <c r="H21" s="10"/>
      <c r="I21" s="10"/>
      <c r="J21" s="10"/>
      <c r="K21" s="10"/>
      <c r="L21" s="11" t="s">
        <v>48</v>
      </c>
      <c r="M21" s="10"/>
      <c r="N21" s="10"/>
      <c r="O21" s="10"/>
      <c r="P21" s="10"/>
      <c r="Q21" s="10"/>
      <c r="R21" s="10"/>
      <c r="S21" s="10"/>
      <c r="T21" s="10"/>
      <c r="U21" s="10"/>
      <c r="V21" s="10"/>
      <c r="W21" s="10"/>
    </row>
    <row r="22" spans="1:23" x14ac:dyDescent="0.25">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25">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25">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25">
      <c r="A25" s="10"/>
      <c r="B25" s="10"/>
      <c r="C25" s="10"/>
      <c r="D25" s="10"/>
      <c r="E25" s="10"/>
      <c r="F25" s="10"/>
      <c r="G25" s="10"/>
      <c r="H25" s="10"/>
      <c r="I25" s="10"/>
      <c r="J25" s="10"/>
      <c r="M25" s="10"/>
      <c r="N25" s="10"/>
      <c r="O25" s="10"/>
      <c r="P25" s="10"/>
      <c r="Q25" s="10"/>
      <c r="R25" s="10"/>
      <c r="S25" s="10"/>
      <c r="T25" s="10"/>
      <c r="U25" s="10"/>
      <c r="V25" s="10"/>
      <c r="W25" s="10"/>
    </row>
    <row r="26" spans="1:23" x14ac:dyDescent="0.25">
      <c r="A26" s="10"/>
      <c r="B26" s="10"/>
      <c r="C26" s="10"/>
      <c r="D26" s="10"/>
      <c r="E26" s="10"/>
      <c r="F26" s="10"/>
      <c r="G26" s="10"/>
      <c r="H26" s="10"/>
      <c r="I26" s="10"/>
      <c r="J26" s="10"/>
      <c r="K26" s="10"/>
      <c r="M26" s="10"/>
      <c r="N26" s="10"/>
      <c r="O26" s="10"/>
      <c r="P26" s="10"/>
      <c r="Q26" s="10"/>
      <c r="R26" s="10"/>
      <c r="S26" s="10"/>
      <c r="T26" s="10"/>
      <c r="U26" s="10"/>
      <c r="V26" s="10"/>
      <c r="W26" s="10"/>
    </row>
    <row r="27" spans="1:23" x14ac:dyDescent="0.25">
      <c r="A27" s="10"/>
      <c r="B27" s="10"/>
      <c r="C27" s="10"/>
      <c r="D27" s="10"/>
      <c r="E27" s="10"/>
      <c r="F27" s="10"/>
      <c r="G27" s="10"/>
      <c r="H27" s="10"/>
      <c r="I27" s="10"/>
      <c r="J27" s="10"/>
      <c r="M27" s="10"/>
      <c r="N27" s="10"/>
      <c r="O27" s="10"/>
      <c r="P27" s="10"/>
      <c r="Q27" s="10"/>
      <c r="R27" s="10"/>
      <c r="S27" s="10"/>
      <c r="T27" s="10"/>
      <c r="U27" s="10"/>
      <c r="V27" s="10"/>
      <c r="W27" s="10"/>
    </row>
    <row r="28" spans="1:23" x14ac:dyDescent="0.25">
      <c r="A28" s="10"/>
      <c r="B28" s="10"/>
      <c r="C28" s="10"/>
      <c r="D28" s="10"/>
      <c r="E28" s="10"/>
      <c r="F28" s="10"/>
      <c r="G28" s="10"/>
      <c r="H28" s="10"/>
      <c r="I28" s="10"/>
      <c r="J28" s="10"/>
      <c r="K28" s="10"/>
      <c r="L28" s="10"/>
      <c r="M28" s="10"/>
      <c r="N28" s="10"/>
      <c r="O28" s="10"/>
      <c r="P28" s="10"/>
      <c r="Q28" s="10"/>
      <c r="R28" s="10"/>
      <c r="S28" s="10"/>
      <c r="T28" s="10"/>
      <c r="U28" s="10"/>
      <c r="V28" s="10"/>
      <c r="W28" s="10"/>
    </row>
    <row r="29" spans="1:23" x14ac:dyDescent="0.25">
      <c r="A29" s="10"/>
      <c r="B29" s="10"/>
      <c r="C29" s="10"/>
      <c r="D29" s="10"/>
      <c r="E29" s="10"/>
      <c r="F29" s="10"/>
      <c r="G29" s="10"/>
      <c r="H29" s="10"/>
      <c r="I29" s="10"/>
      <c r="J29" s="10"/>
      <c r="K29" s="10"/>
      <c r="L29" s="10"/>
      <c r="M29" s="10"/>
      <c r="N29" s="10"/>
      <c r="O29" s="10"/>
      <c r="P29" s="10"/>
      <c r="Q29" s="10"/>
      <c r="R29" s="10"/>
      <c r="S29" s="10"/>
      <c r="T29" s="10"/>
      <c r="U29" s="10"/>
      <c r="V29" s="10"/>
      <c r="W29" s="10"/>
    </row>
    <row r="30" spans="1:23" x14ac:dyDescent="0.25">
      <c r="A30" s="10"/>
      <c r="B30" s="10"/>
      <c r="C30" s="10"/>
      <c r="D30" s="10"/>
      <c r="E30" s="10"/>
      <c r="F30" s="10"/>
      <c r="G30" s="10"/>
      <c r="H30" s="10"/>
      <c r="I30" s="10"/>
      <c r="J30" s="10"/>
      <c r="K30" s="10"/>
      <c r="L30" s="10"/>
      <c r="M30" s="10"/>
      <c r="N30" s="10"/>
      <c r="O30" s="10"/>
      <c r="P30" s="10"/>
      <c r="Q30" s="10"/>
      <c r="R30" s="10"/>
      <c r="S30" s="10"/>
      <c r="T30" s="10"/>
      <c r="U30" s="10"/>
      <c r="V30" s="10"/>
      <c r="W30" s="10"/>
    </row>
    <row r="31" spans="1:23" x14ac:dyDescent="0.25">
      <c r="A31" s="10"/>
      <c r="B31" s="10"/>
      <c r="C31" s="10"/>
      <c r="D31" s="10"/>
      <c r="E31" s="10"/>
      <c r="F31" s="10"/>
      <c r="G31" s="10"/>
      <c r="H31" s="10"/>
      <c r="I31" s="10"/>
      <c r="J31" s="10"/>
      <c r="K31" s="10"/>
      <c r="L31" s="10"/>
      <c r="M31" s="10"/>
      <c r="N31" s="10"/>
      <c r="O31" s="10"/>
      <c r="P31" s="10"/>
      <c r="Q31" s="10"/>
      <c r="R31" s="10"/>
      <c r="S31" s="10"/>
      <c r="T31" s="10"/>
      <c r="U31" s="10"/>
      <c r="V31" s="10"/>
      <c r="W31" s="10"/>
    </row>
    <row r="32" spans="1:23" x14ac:dyDescent="0.25">
      <c r="A32" s="10"/>
      <c r="B32" s="10"/>
      <c r="C32" s="10"/>
      <c r="D32" s="10"/>
      <c r="E32" s="10"/>
      <c r="F32" s="10"/>
      <c r="G32" s="10"/>
      <c r="H32" s="10"/>
      <c r="I32" s="10"/>
      <c r="J32" s="10"/>
      <c r="K32" s="10"/>
      <c r="L32" s="10"/>
      <c r="M32" s="10"/>
      <c r="N32" s="10"/>
      <c r="O32" s="10"/>
      <c r="P32" s="10"/>
      <c r="Q32" s="10"/>
      <c r="R32" s="10"/>
      <c r="S32" s="10"/>
      <c r="T32" s="10"/>
      <c r="U32" s="10"/>
      <c r="V32" s="10"/>
      <c r="W32" s="10"/>
    </row>
    <row r="33" spans="1:23" x14ac:dyDescent="0.25">
      <c r="A33" s="10"/>
      <c r="B33" s="10"/>
      <c r="C33" s="10"/>
      <c r="D33" s="10"/>
      <c r="E33" s="10"/>
      <c r="F33" s="10"/>
      <c r="G33" s="10"/>
      <c r="H33" s="10"/>
      <c r="I33" s="10"/>
      <c r="J33" s="10"/>
      <c r="K33" s="10"/>
      <c r="L33" s="10"/>
      <c r="M33" s="10"/>
      <c r="N33" s="10"/>
      <c r="O33" s="10"/>
      <c r="P33" s="10"/>
      <c r="Q33" s="10"/>
      <c r="R33" s="10"/>
      <c r="S33" s="10"/>
      <c r="T33" s="10"/>
      <c r="U33" s="10"/>
      <c r="V33" s="10"/>
      <c r="W33" s="10"/>
    </row>
    <row r="34" spans="1:23" x14ac:dyDescent="0.25">
      <c r="A34" s="10"/>
      <c r="B34" s="10"/>
      <c r="C34" s="10"/>
      <c r="D34" s="10"/>
      <c r="E34" s="10"/>
      <c r="F34" s="10"/>
      <c r="G34" s="10"/>
      <c r="H34" s="10"/>
      <c r="I34" s="10"/>
      <c r="J34" s="10"/>
      <c r="K34" s="10"/>
      <c r="L34" s="10"/>
      <c r="M34" s="10"/>
      <c r="N34" s="10"/>
      <c r="O34" s="10"/>
      <c r="P34" s="10"/>
      <c r="Q34" s="10"/>
      <c r="R34" s="10"/>
      <c r="S34" s="10"/>
      <c r="T34" s="10"/>
      <c r="U34" s="10"/>
      <c r="V34" s="10"/>
      <c r="W34" s="10"/>
    </row>
    <row r="35" spans="1:23" x14ac:dyDescent="0.25">
      <c r="A35" s="10"/>
      <c r="B35" s="10"/>
      <c r="C35" s="10"/>
      <c r="D35" s="10"/>
      <c r="E35" s="10"/>
      <c r="F35" s="10"/>
      <c r="G35" s="10"/>
      <c r="H35" s="10"/>
      <c r="I35" s="10"/>
      <c r="J35" s="10"/>
      <c r="K35" s="10"/>
      <c r="L35" s="10"/>
      <c r="M35" s="10"/>
      <c r="N35" s="10"/>
      <c r="O35" s="10"/>
      <c r="P35" s="10"/>
      <c r="Q35" s="10"/>
      <c r="R35" s="10"/>
      <c r="S35" s="10"/>
      <c r="T35" s="10"/>
      <c r="U35" s="10"/>
      <c r="V35" s="10"/>
      <c r="W35" s="10"/>
    </row>
    <row r="36" spans="1:23" x14ac:dyDescent="0.25">
      <c r="A36" s="10"/>
      <c r="B36" s="10"/>
      <c r="C36" s="10"/>
      <c r="D36" s="10"/>
      <c r="E36" s="10"/>
      <c r="F36" s="10"/>
      <c r="G36" s="10"/>
      <c r="H36" s="10"/>
      <c r="I36" s="10"/>
      <c r="J36" s="10"/>
      <c r="K36" s="10"/>
      <c r="L36" s="10"/>
      <c r="M36" s="10"/>
      <c r="N36" s="10"/>
      <c r="O36" s="10"/>
      <c r="P36" s="10"/>
      <c r="Q36" s="10"/>
      <c r="R36" s="10"/>
      <c r="S36" s="10"/>
      <c r="T36" s="10"/>
      <c r="U36" s="10"/>
      <c r="V36" s="10"/>
      <c r="W36" s="10"/>
    </row>
    <row r="37" spans="1:23" x14ac:dyDescent="0.25">
      <c r="A37" s="10"/>
      <c r="B37" s="10"/>
      <c r="C37" s="10"/>
      <c r="D37" s="10"/>
      <c r="E37" s="10"/>
      <c r="F37" s="10"/>
      <c r="G37" s="10"/>
      <c r="H37" s="10"/>
      <c r="I37" s="10"/>
      <c r="J37" s="10"/>
      <c r="K37" s="10"/>
      <c r="L37" s="10"/>
      <c r="M37" s="10"/>
      <c r="N37" s="10"/>
      <c r="O37" s="10"/>
      <c r="P37" s="10"/>
      <c r="Q37" s="10"/>
      <c r="R37" s="10"/>
      <c r="S37" s="10"/>
      <c r="T37" s="10"/>
      <c r="U37" s="10"/>
      <c r="V37" s="10"/>
      <c r="W37" s="10"/>
    </row>
    <row r="38" spans="1:23" x14ac:dyDescent="0.25">
      <c r="A38" s="10"/>
      <c r="B38" s="10"/>
      <c r="C38" s="10"/>
      <c r="D38" s="10"/>
      <c r="E38" s="10"/>
      <c r="F38" s="10"/>
      <c r="G38" s="10"/>
      <c r="H38" s="10"/>
      <c r="I38" s="10"/>
      <c r="J38" s="10"/>
      <c r="K38" s="10"/>
      <c r="L38" s="10"/>
      <c r="M38" s="10"/>
      <c r="N38" s="10"/>
      <c r="O38" s="10"/>
      <c r="P38" s="10"/>
      <c r="Q38" s="10"/>
      <c r="R38" s="10"/>
      <c r="S38" s="10"/>
      <c r="T38" s="10"/>
      <c r="U38" s="10"/>
      <c r="V38" s="10"/>
      <c r="W38" s="10"/>
    </row>
    <row r="39" spans="1:23" x14ac:dyDescent="0.25">
      <c r="A39" s="10"/>
      <c r="B39" s="10"/>
      <c r="C39" s="10"/>
      <c r="D39" s="10"/>
      <c r="E39" s="10"/>
      <c r="F39" s="10"/>
      <c r="G39" s="10"/>
      <c r="H39" s="10"/>
      <c r="I39" s="10"/>
      <c r="J39" s="10"/>
      <c r="K39" s="10"/>
      <c r="L39" s="10"/>
      <c r="M39" s="10"/>
      <c r="N39" s="10"/>
      <c r="O39" s="10"/>
      <c r="P39" s="10"/>
      <c r="Q39" s="10"/>
      <c r="R39" s="10"/>
      <c r="S39" s="10"/>
      <c r="T39" s="10"/>
      <c r="U39" s="10"/>
      <c r="V39" s="10"/>
      <c r="W39" s="10"/>
    </row>
    <row r="40" spans="1:23" x14ac:dyDescent="0.25">
      <c r="A40" s="10"/>
      <c r="B40" s="10"/>
      <c r="C40" s="10"/>
      <c r="D40" s="10"/>
      <c r="E40" s="10"/>
      <c r="F40" s="10"/>
      <c r="G40" s="10"/>
      <c r="H40" s="10"/>
      <c r="I40" s="10"/>
      <c r="J40" s="10"/>
      <c r="K40" s="10"/>
      <c r="L40" s="10"/>
      <c r="M40" s="10"/>
      <c r="N40" s="10"/>
      <c r="O40" s="10"/>
      <c r="P40" s="10"/>
      <c r="Q40" s="10"/>
      <c r="R40" s="10"/>
      <c r="S40" s="10"/>
      <c r="T40" s="10"/>
      <c r="U40" s="10"/>
      <c r="V40" s="10"/>
      <c r="W40" s="10"/>
    </row>
    <row r="41" spans="1:23" x14ac:dyDescent="0.25">
      <c r="A41" s="10"/>
      <c r="B41" s="10"/>
      <c r="C41" s="10"/>
      <c r="D41" s="10"/>
      <c r="E41" s="10"/>
      <c r="F41" s="10"/>
      <c r="G41" s="10"/>
      <c r="H41" s="10"/>
      <c r="I41" s="10"/>
      <c r="J41" s="10"/>
      <c r="K41" s="10"/>
      <c r="L41" s="10"/>
      <c r="M41" s="10"/>
      <c r="N41" s="10"/>
      <c r="O41" s="10"/>
      <c r="P41" s="10"/>
      <c r="Q41" s="10"/>
      <c r="R41" s="10"/>
      <c r="S41" s="10"/>
      <c r="T41" s="10"/>
      <c r="U41" s="10"/>
      <c r="V41" s="10"/>
      <c r="W41" s="10"/>
    </row>
    <row r="42" spans="1:23" x14ac:dyDescent="0.25">
      <c r="A42" s="10"/>
      <c r="B42" s="10"/>
      <c r="C42" s="10"/>
      <c r="D42" s="10"/>
      <c r="E42" s="10"/>
      <c r="F42" s="10"/>
      <c r="G42" s="10"/>
      <c r="H42" s="10"/>
      <c r="I42" s="10"/>
      <c r="J42" s="10"/>
      <c r="K42" s="10"/>
      <c r="L42" s="10"/>
      <c r="M42" s="10"/>
      <c r="N42" s="10"/>
      <c r="O42" s="10"/>
      <c r="P42" s="10"/>
      <c r="Q42" s="10"/>
      <c r="R42" s="10"/>
      <c r="S42" s="10"/>
      <c r="T42" s="10"/>
      <c r="U42" s="10"/>
      <c r="V42" s="10"/>
      <c r="W42" s="10"/>
    </row>
    <row r="43" spans="1:23" x14ac:dyDescent="0.25">
      <c r="A43" s="10"/>
      <c r="B43" s="10"/>
      <c r="C43" s="10"/>
      <c r="D43" s="10"/>
      <c r="E43" s="10"/>
      <c r="F43" s="10"/>
      <c r="G43" s="10"/>
      <c r="H43" s="10"/>
      <c r="I43" s="10"/>
      <c r="J43" s="10"/>
      <c r="K43" s="10"/>
      <c r="L43" s="10"/>
      <c r="M43" s="10"/>
      <c r="N43" s="10"/>
      <c r="O43" s="10"/>
      <c r="P43" s="10"/>
      <c r="Q43" s="10"/>
      <c r="R43" s="10"/>
      <c r="S43" s="10"/>
      <c r="T43" s="10"/>
      <c r="U43" s="10"/>
      <c r="V43" s="10"/>
      <c r="W4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732A35-742F-41ED-81A9-8C4107D66F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 olaleye</dc:creator>
  <cp:lastModifiedBy>NS. olaleye</cp:lastModifiedBy>
  <dcterms:created xsi:type="dcterms:W3CDTF">2026-10-02T03:50:27Z</dcterms:created>
  <dcterms:modified xsi:type="dcterms:W3CDTF">2026-10-03T02:38:15Z</dcterms:modified>
</cp:coreProperties>
</file>